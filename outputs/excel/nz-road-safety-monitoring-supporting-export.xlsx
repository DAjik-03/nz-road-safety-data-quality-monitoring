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64225\Desktop\WORK\Project\nz-road-safety-data-quality-monitoring\outputs\excel\"/>
    </mc:Choice>
  </mc:AlternateContent>
  <xr:revisionPtr revIDLastSave="0" documentId="8_{F1A40199-4023-4965-A1C5-69C43761884F}" xr6:coauthVersionLast="47" xr6:coauthVersionMax="47" xr10:uidLastSave="{00000000-0000-0000-0000-000000000000}"/>
  <bookViews>
    <workbookView xWindow="-120" yWindow="-120" windowWidth="29040" windowHeight="15840" firstSheet="1" activeTab="5" xr2:uid="{00000000-000D-0000-FFFF-FFFF00000000}"/>
  </bookViews>
  <sheets>
    <sheet name="Cover &amp; Reporting Position" sheetId="1" r:id="rId1"/>
    <sheet name="Validation Outcomes" sheetId="2" r:id="rId2"/>
    <sheet name="Exception Register" sheetId="3" r:id="rId3"/>
    <sheet name="Monitoring Summary" sheetId="4" r:id="rId4"/>
    <sheet name="Geographic Caveats" sheetId="5" r:id="rId5"/>
    <sheet name="Reviewed Fields Overview"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 l="1"/>
  <c r="F12" i="1"/>
  <c r="F11" i="1"/>
</calcChain>
</file>

<file path=xl/sharedStrings.xml><?xml version="1.0" encoding="utf-8"?>
<sst xmlns="http://schemas.openxmlformats.org/spreadsheetml/2006/main" count="528" uniqueCount="313">
  <si>
    <t>NZ Road Safety Data Quality &amp; Monitoring Review
Supporting Summary Export (v1)</t>
  </si>
  <si>
    <t>Stakeholder-friendly summary export for an independent portfolio review using a public NZTA CAS extract. It brings together reviewed fields, validation outcomes, monitored exceptions, reporting caveats, and the version 1 monitoring position in one workbook.
Use it alongside the repository README, figures, and CSV outputs.</t>
  </si>
  <si>
    <t>Fit for version 1 monitoring use</t>
  </si>
  <si>
    <t>Strongest for annual / financial-year reporting</t>
  </si>
  <si>
    <t>Detailed geographic reporting requires caveat</t>
  </si>
  <si>
    <t>Reviewed extract rows</t>
  </si>
  <si>
    <t>Registered exception items</t>
  </si>
  <si>
    <t>Reviewed extract columns</t>
  </si>
  <si>
    <t>Open for monitoring</t>
  </si>
  <si>
    <t>Workbook tabs</t>
  </si>
  <si>
    <t>Main monitoring scope</t>
  </si>
  <si>
    <t>Annual / financial-year</t>
  </si>
  <si>
    <t>Overall reporting position</t>
  </si>
  <si>
    <t>Overall, the reviewed dataset is considered fit for version 1 monitoring use, with targeted caveats rather than broad reliability concerns.
The strongest use cases are annual and financial-year monitoring. Most identified issues are low-volume exceptions or warning-level completeness gaps. Detailed geographic reporting should be read with additional caution, and one isolated 2005 Auckland anomaly remains logged as a monitored exception.</t>
  </si>
  <si>
    <t>Sheet</t>
  </si>
  <si>
    <t>Purpose</t>
  </si>
  <si>
    <t>Use</t>
  </si>
  <si>
    <t>Reference</t>
  </si>
  <si>
    <t>Link</t>
  </si>
  <si>
    <t>Cover &amp; Reporting Position</t>
  </si>
  <si>
    <t>Orientation and final reporting position</t>
  </si>
  <si>
    <t>Start here</t>
  </si>
  <si>
    <t>Repository README</t>
  </si>
  <si>
    <t>Open README</t>
  </si>
  <si>
    <t>Validation Outcomes</t>
  </si>
  <si>
    <t>High-level validation findings</t>
  </si>
  <si>
    <t>Read for summary judgement</t>
  </si>
  <si>
    <t>Final reporting position</t>
  </si>
  <si>
    <t>Open final reporting position</t>
  </si>
  <si>
    <t>Exception Register</t>
  </si>
  <si>
    <t>Targeted monitored issues and caveats</t>
  </si>
  <si>
    <t>Review remaining exceptions</t>
  </si>
  <si>
    <t>Executive summary</t>
  </si>
  <si>
    <t>Open executive summary</t>
  </si>
  <si>
    <t>Monitoring Summary</t>
  </si>
  <si>
    <t>Use-case-based reporting guidance</t>
  </si>
  <si>
    <t>Check fit-for-use by reporting need</t>
  </si>
  <si>
    <t>Data dictionary</t>
  </si>
  <si>
    <t>Open data dictionary</t>
  </si>
  <si>
    <t>Geographic Caveats</t>
  </si>
  <si>
    <t>Specific caveats for spatial reporting</t>
  </si>
  <si>
    <t>Use before detailed local reporting</t>
  </si>
  <si>
    <t>Methodology</t>
  </si>
  <si>
    <t>Open methodology</t>
  </si>
  <si>
    <t>Reviewed Fields Overview</t>
  </si>
  <si>
    <t>Priority fields reviewed in version 1</t>
  </si>
  <si>
    <t>See scope of key reviewed fields</t>
  </si>
  <si>
    <t>Assumptions and limitations</t>
  </si>
  <si>
    <t>Open assumptions and limitations</t>
  </si>
  <si>
    <t>Important positioning note</t>
  </si>
  <si>
    <t>This is an independent portfolio project using publicly available data. It is not official NZTA analysis, official government reporting, operational sign-off on source-system quality, or a production enterprise reporting framework.
Prepared for portfolio presentation | Source context: public NZTA CAS extract | Workbook version: v1 polished</t>
  </si>
  <si>
    <t>Validation Area</t>
  </si>
  <si>
    <t>Reviewed Item</t>
  </si>
  <si>
    <t>Outcome</t>
  </si>
  <si>
    <t>Severity</t>
  </si>
  <si>
    <t>Interpretation</t>
  </si>
  <si>
    <t>Monitoring Impact</t>
  </si>
  <si>
    <t>Notes</t>
  </si>
  <si>
    <t>Source Reference</t>
  </si>
  <si>
    <t>Extract profile</t>
  </si>
  <si>
    <t>Public CAS extract profile</t>
  </si>
  <si>
    <t>Suitable</t>
  </si>
  <si>
    <t>Low</t>
  </si>
  <si>
    <t>The reviewed extract profile is 913,464 rows by 72 columns and is treated as the version 1 source context.</t>
  </si>
  <si>
    <t>Suitable as the base extract for version 1 monitoring outputs.</t>
  </si>
  <si>
    <t>Profile cited in the README and data dictionary for the reviewed workflow.</t>
  </si>
  <si>
    <t>Repository</t>
  </si>
  <si>
    <t>Temporal framing</t>
  </si>
  <si>
    <t>Annual and financial-year periods</t>
  </si>
  <si>
    <t>Version 1 is primarily framed around crashYear and crashFinancialYear rather than a daily operational workflow.</t>
  </si>
  <si>
    <t>Strongest support is for annual and financial-year monitoring and review.</t>
  </si>
  <si>
    <t>This is the core reporting frame used across the repo narrative.</t>
  </si>
  <si>
    <t>Severity review</t>
  </si>
  <si>
    <t>crashSeverity and injury counts</t>
  </si>
  <si>
    <t>Core severity and outcome fields are essentially complete and central to the reporting position.</t>
  </si>
  <si>
    <t>Supports severity and outcome review with proportionate interpretation of low-volume anomalies.</t>
  </si>
  <si>
    <t>fatalCount, seriousInjuryCount, and minorInjuryCount remain part of the highest-priority reviewed fields.</t>
  </si>
  <si>
    <t>Geographic completeness</t>
  </si>
  <si>
    <t>Reference geography fields</t>
  </si>
  <si>
    <t>Suitable with caveat</t>
  </si>
  <si>
    <t>Medium</t>
  </si>
  <si>
    <t>A very small number of records have incomplete geography references affecting tlaId, tlaName, areaUnitID, or meshblockId.</t>
  </si>
  <si>
    <t>National aggregate monitoring remains reasonable, but detailed geographic reporting needs caveat wording.</t>
  </si>
  <si>
    <t>This is the main stakeholder-facing residual caveat in version 1.</t>
  </si>
  <si>
    <t>Location logic fields</t>
  </si>
  <si>
    <t>crashRoadSideRoad and intersection</t>
  </si>
  <si>
    <t>Not in version 1 reporting scope</t>
  </si>
  <si>
    <t>These fields are present in the extract but are fully missing in the reviewed version 1 inventory.</t>
  </si>
  <si>
    <t>They should not be treated as broadly usable reporting fields in version 1.</t>
  </si>
  <si>
    <t>This is a field-availability limitation rather than a broad monitoring failure.</t>
  </si>
  <si>
    <t>Context field completeness</t>
  </si>
  <si>
    <t>holiday, advisorySpeed, pedestrian, temporarySpeedLimit</t>
  </si>
  <si>
    <t>Several contextual fields have very high missingness and should be interpreted narrowly rather than as broadly complete.</t>
  </si>
  <si>
    <t>Do not overstate contextual reporting based on these fields.</t>
  </si>
  <si>
    <t>holiday 94.48%, advisorySpeed 96.05%, pedestrian 96.69%, temporarySpeedLimit 98.28%.</t>
  </si>
  <si>
    <t>Conditional-use fields</t>
  </si>
  <si>
    <t>Roadside / object / impact fields</t>
  </si>
  <si>
    <t>A large group of object and roadside fields show about 58.76% missingness, consistent with conditional-use population.</t>
  </si>
  <si>
    <t>These fields can inform relevant cases but are not headline completeness weaknesses for version 1.</t>
  </si>
  <si>
    <t>Interpret as situational attributes, not as core-field reporting failures.</t>
  </si>
  <si>
    <t>Historical anomaly</t>
  </si>
  <si>
    <t>2005 Auckland injury-count exception</t>
  </si>
  <si>
    <t>Monitored exception</t>
  </si>
  <si>
    <t>One isolated 2005 Auckland record has missing fatalCount, seriousInjuryCount, and minorInjuryCount.</t>
  </si>
  <si>
    <t>Retain as a monitored exception without changing the overall fit-for-use position.</t>
  </si>
  <si>
    <t>Materiality-based interpretation keeps this as an isolated monitored item rather than a broad concern.</t>
  </si>
  <si>
    <t>Overall conclusion</t>
  </si>
  <si>
    <t>Version 1 reporting position</t>
  </si>
  <si>
    <t>No major high-volume structural failures were identified; most flagged items are low-volume exceptions or warning-level gaps.</t>
  </si>
  <si>
    <t>Overall position remains fit for version 1 monitoring use, with targeted caveats rather than broad reliability concerns.</t>
  </si>
  <si>
    <t>Best described as monitoring-ready for annual and financial-year use, with more caution for detailed geographic reporting.</t>
  </si>
  <si>
    <t>Exception ID</t>
  </si>
  <si>
    <t>Exception Title</t>
  </si>
  <si>
    <t>Area</t>
  </si>
  <si>
    <t>Period / Year</t>
  </si>
  <si>
    <t>Location Scope</t>
  </si>
  <si>
    <t>Status</t>
  </si>
  <si>
    <t>Stakeholder Interpretation</t>
  </si>
  <si>
    <t>Monitoring Action</t>
  </si>
  <si>
    <t>Owner / Review Context</t>
  </si>
  <si>
    <t>EX-001</t>
  </si>
  <si>
    <t>Geographic reference completeness caveat</t>
  </si>
  <si>
    <t>Multi-period</t>
  </si>
  <si>
    <t>TLA / area unit / meshblock-linked use</t>
  </si>
  <si>
    <t>A very small number of records have incomplete geographic reference fields. This is the main residual caveat in version 1, but it is not expected to materially affect national annual or financial-year summaries.</t>
  </si>
  <si>
    <t>Retain a short geography caveat in stakeholder-facing reporting and review whether missing records become more concentrated by period or place in future refreshes.</t>
  </si>
  <si>
    <t>Independent analyst review</t>
  </si>
  <si>
    <t>Relevant fields: tlaId, tlaName, areaUnitID, meshblockId.</t>
  </si>
  <si>
    <t>EX-002</t>
  </si>
  <si>
    <t>2005 Auckland isolated injury-count anomaly</t>
  </si>
  <si>
    <t>Severity / injury counts</t>
  </si>
  <si>
    <t>2005</t>
  </si>
  <si>
    <t>Auckland</t>
  </si>
  <si>
    <t>One historical Auckland record has missing fatalCount, seriousInjuryCount, and minorInjuryCount. It is isolated and low-volume.</t>
  </si>
  <si>
    <t>Keep on the monitored exception list and re-check against future extracts or refreshes; do not elevate to a broad reporting-readiness concern.</t>
  </si>
  <si>
    <t>Historical exception retained because the methodology interprets issues according to materiality rather than raw issue count.</t>
  </si>
  <si>
    <t>EX-003</t>
  </si>
  <si>
    <t>crashRoadSideRoad fully missing in the reviewed extract</t>
  </si>
  <si>
    <t>Location logic</t>
  </si>
  <si>
    <t>Current reviewed extract</t>
  </si>
  <si>
    <t>All records</t>
  </si>
  <si>
    <t>Context noted</t>
  </si>
  <si>
    <t>The field is present but fully missing in the reviewed version 1 inventory, so it should not be treated as a broadly usable reporting field.</t>
  </si>
  <si>
    <t>Exclude from stakeholder summary metrics unless a future extract changes availability.</t>
  </si>
  <si>
    <t>Inventory / documentation review</t>
  </si>
  <si>
    <t>Inventory-level limitation; not a core monitoring blocker.</t>
  </si>
  <si>
    <t>EX-004</t>
  </si>
  <si>
    <t>intersection fully missing in the reviewed extract</t>
  </si>
  <si>
    <t>The field is present but fully missing in the reviewed version 1 inventory, so it should not be relied on for version 1 reporting use.</t>
  </si>
  <si>
    <t>Keep out of the reporting layer unless future refreshes show usable population.</t>
  </si>
  <si>
    <t>Treat as unavailable in version 1 rather than as a high-volume structural failure.</t>
  </si>
  <si>
    <t>EX-005</t>
  </si>
  <si>
    <t>Very high missingness in contextual fields</t>
  </si>
  <si>
    <t>Contextual completeness</t>
  </si>
  <si>
    <t>National / all records</t>
  </si>
  <si>
    <t>No immediate reporting impact</t>
  </si>
  <si>
    <t>holiday, advisorySpeed, pedestrian, and temporarySpeedLimit have very high missingness and should only be used cautiously in narrow contexts.</t>
  </si>
  <si>
    <t>Keep these fields out of headline monitoring claims and use only with explicit context-specific qualification.</t>
  </si>
  <si>
    <t>High missingness pattern: holiday 94.48%, advisorySpeed 96.05%, pedestrian 96.69%, temporarySpeedLimit 98.28%.</t>
  </si>
  <si>
    <t>EX-006</t>
  </si>
  <si>
    <t>Conditional-use roadside and object fields</t>
  </si>
  <si>
    <t>Conditional-use completeness</t>
  </si>
  <si>
    <t>Many roadside, impact, and object fields show around 58.76% missingness, consistent with conditional-use population rather than universal capture.</t>
  </si>
  <si>
    <t>Treat as situational supporting fields and escalate only if future refreshes show expanding spread or business reliance on those fields increases.</t>
  </si>
  <si>
    <t>Examples include bridge, ditch, guardRail, tree, vehicle, and waterRiver.</t>
  </si>
  <si>
    <t>Reporting Use Case</t>
  </si>
  <si>
    <t>Recommended Position</t>
  </si>
  <si>
    <t>Confidence Level</t>
  </si>
  <si>
    <t>Caveat Required</t>
  </si>
  <si>
    <t>Reason</t>
  </si>
  <si>
    <t>Suggested Stakeholder Wording</t>
  </si>
  <si>
    <t>Annual monitoring</t>
  </si>
  <si>
    <t>High</t>
  </si>
  <si>
    <t>Standard scope note only</t>
  </si>
  <si>
    <t>Version 1 is explicitly framed around annual monitoring using crashYear.</t>
  </si>
  <si>
    <t>The reviewed public extract appears suitable for annual monitoring use within the documented version 1 workflow.</t>
  </si>
  <si>
    <t>Financial-year monitoring</t>
  </si>
  <si>
    <t>Version 1 is explicitly framed around crashFinancialYear and monitoring-ready summary reporting.</t>
  </si>
  <si>
    <t>The reviewed public extract appears suitable for financial-year monitoring use within the documented version 1 workflow.</t>
  </si>
  <si>
    <t>Severity and outcome review</t>
  </si>
  <si>
    <t>No additional caveat beyond normal interpretation discipline</t>
  </si>
  <si>
    <t>crashSeverity and injury-count fields are central to the validation and reporting-readiness position.</t>
  </si>
  <si>
    <t>Severity and outcome review can be supported, with low-volume anomalies interpreted proportionately rather than overstated.</t>
  </si>
  <si>
    <t>National summary reporting</t>
  </si>
  <si>
    <t>Light caveat optional</t>
  </si>
  <si>
    <t>No major high-volume structural failures were identified, and the main remaining caveat is concentrated in fine-grained geography.</t>
  </si>
  <si>
    <t>National annual and financial-year summaries can generally be reported with reasonable confidence.</t>
  </si>
  <si>
    <t>Detailed geographic comparison</t>
  </si>
  <si>
    <t>Yes</t>
  </si>
  <si>
    <t>A very small number of incomplete geography reference records may slightly reduce precision for detailed geographic comparison.</t>
  </si>
  <si>
    <t>Detailed geographic reporting should include a short caveat noting that a very small number of records have incomplete geographic reference fields.</t>
  </si>
  <si>
    <t>Map-based or meshblock-linked analysis</t>
  </si>
  <si>
    <t>Use with caution</t>
  </si>
  <si>
    <t>The residual caveat becomes more relevant when outputs rely on area-unit or meshblock precision or map-based presentation.</t>
  </si>
  <si>
    <t>Map-based or tightly localised outputs should be accompanied by a clear caveat and interpreted more cautiously than national aggregate reporting.</t>
  </si>
  <si>
    <t>Daily or real-time operational reporting</t>
  </si>
  <si>
    <t>The current framing is monitoring-ready rather than real-time operational decisioning.</t>
  </si>
  <si>
    <t>This workflow is best described as annual / financial-year monitoring oriented rather than a daily operational reporting framework.</t>
  </si>
  <si>
    <t>Geographic Topic</t>
  </si>
  <si>
    <t>Caveat Type</t>
  </si>
  <si>
    <t>Observed Position</t>
  </si>
  <si>
    <t>Reporting Implication</t>
  </si>
  <si>
    <t>Recommended Use</t>
  </si>
  <si>
    <t>Not Recommended For</t>
  </si>
  <si>
    <t>Suggested Wording</t>
  </si>
  <si>
    <t>National annual summaries</t>
  </si>
  <si>
    <t>The main geography caveat is not expected to materially affect national annual summaries.</t>
  </si>
  <si>
    <t>National-level annual reporting remains the strongest geographic-adjacent use case.</t>
  </si>
  <si>
    <t>Fine-grained local precision claims</t>
  </si>
  <si>
    <t>National annual summaries can generally proceed, while noting that a very small number of geography-reference records remain incomplete.</t>
  </si>
  <si>
    <t>National financial-year summaries</t>
  </si>
  <si>
    <t>The main geography caveat is not expected to materially affect national financial-year summaries.</t>
  </si>
  <si>
    <t>National-level financial-year reporting remains appropriate.</t>
  </si>
  <si>
    <t>National financial-year summaries can generally proceed, with the same proportionate geography caveat where useful.</t>
  </si>
  <si>
    <t>TLA-level reporting</t>
  </si>
  <si>
    <t>Additional caution is appropriate when reporting becomes more geographically detailed, including TLA-level outputs.</t>
  </si>
  <si>
    <t>TLA comparisons may be slightly affected by incomplete geography reference records.</t>
  </si>
  <si>
    <t>Unqualified locality precision claims</t>
  </si>
  <si>
    <t>TLA-level reporting should include a short note that a very small number of records have incomplete geography references.</t>
  </si>
  <si>
    <t>Area-unit reporting</t>
  </si>
  <si>
    <t>Area-unit interpretation is more exposed to fine-grained geography completeness than national aggregates.</t>
  </si>
  <si>
    <t>Area-unit summaries need clear caveat wording and proportionate interpretation.</t>
  </si>
  <si>
    <t>Over-precise small-area claims</t>
  </si>
  <si>
    <t>Area-unit reporting should be caveated because geography completeness matters more as reporting becomes more granular.</t>
  </si>
  <si>
    <t>Meshblock-linked analysis</t>
  </si>
  <si>
    <t>meshblockId is part of the main residual caveat area in the wider workflow.</t>
  </si>
  <si>
    <t>Meshblock-linked interpretation should be treated more cautiously than broad monitoring use.</t>
  </si>
  <si>
    <t>Overstated precision or unsupported mapping claims</t>
  </si>
  <si>
    <t>Meshblock-linked outputs should be caveated and interpreted more cautiously than national aggregate reporting.</t>
  </si>
  <si>
    <t>Map-based outputs</t>
  </si>
  <si>
    <t>Map-based views become more sensitive to small completeness issues in location reference fields.</t>
  </si>
  <si>
    <t>Map outputs should not imply stronger local precision than the reviewed public extract supports.</t>
  </si>
  <si>
    <t>Unqualified location precision claims</t>
  </si>
  <si>
    <t>Map-based presentation should include a brief note on the small number of incomplete geography-reference records.</t>
  </si>
  <si>
    <t>Tightly scoped local-area summaries</t>
  </si>
  <si>
    <t>The geography caveat becomes more relevant in tightly scoped local-area summaries.</t>
  </si>
  <si>
    <t>Very small local summaries should avoid over-claiming exactness.</t>
  </si>
  <si>
    <t>Small-area exactness without qualification</t>
  </si>
  <si>
    <t>Tightly scoped local-area summaries should be read with more caution than broad monitoring summaries.</t>
  </si>
  <si>
    <t>Field Name</t>
  </si>
  <si>
    <t>Field Group</t>
  </si>
  <si>
    <t>Missing %</t>
  </si>
  <si>
    <t>Review Role</t>
  </si>
  <si>
    <t>Included in Validation</t>
  </si>
  <si>
    <t>Included in Monitoring View</t>
  </si>
  <si>
    <t>Interpretation Relevance</t>
  </si>
  <si>
    <t>Comments</t>
  </si>
  <si>
    <t>crashYear</t>
  </si>
  <si>
    <t>Temporal</t>
  </si>
  <si>
    <t>Core monitoring field</t>
  </si>
  <si>
    <t>Main annual monitoring field in version 1.</t>
  </si>
  <si>
    <t>crashFinancialYear</t>
  </si>
  <si>
    <t>Main financial-year monitoring field in version 1.</t>
  </si>
  <si>
    <t>crashSeverity</t>
  </si>
  <si>
    <t>Core severity field</t>
  </si>
  <si>
    <t>Central severity descriptor used in validation and reporting-readiness interpretation.</t>
  </si>
  <si>
    <t>fatalCount</t>
  </si>
  <si>
    <t>Core severity count</t>
  </si>
  <si>
    <t>Central outcome field; one isolated historical exception remains monitored.</t>
  </si>
  <si>
    <t>seriousInjuryCount</t>
  </si>
  <si>
    <t>Central outcome field for severity review.</t>
  </si>
  <si>
    <t>minorInjuryCount</t>
  </si>
  <si>
    <t>Central outcome field for materiality-based severity interpretation.</t>
  </si>
  <si>
    <t>region</t>
  </si>
  <si>
    <t>Location</t>
  </si>
  <si>
    <t>Geographic reference</t>
  </si>
  <si>
    <t>Broad regional geography field with low missingness.</t>
  </si>
  <si>
    <t>tlaId</t>
  </si>
  <si>
    <t>Important for TLA-level interpretation and geography caveat review.</t>
  </si>
  <si>
    <t>tlaName</t>
  </si>
  <si>
    <t>Human-readable TLA field used in stakeholder-facing geographic summaries.</t>
  </si>
  <si>
    <t>areaUnitID</t>
  </si>
  <si>
    <t>Fine-grained geography</t>
  </si>
  <si>
    <t>More relevant to detailed local reporting than national aggregate monitoring.</t>
  </si>
  <si>
    <t>meshblockId</t>
  </si>
  <si>
    <t>Highly local geography field and part of the main residual caveat discussion.</t>
  </si>
  <si>
    <t>urban</t>
  </si>
  <si>
    <t>Location / context</t>
  </si>
  <si>
    <t>Context field</t>
  </si>
  <si>
    <t>Useful segmentation field but not a headline caveat driver.</t>
  </si>
  <si>
    <t>crashLocation1</t>
  </si>
  <si>
    <t>Location description</t>
  </si>
  <si>
    <t>Validation support field</t>
  </si>
  <si>
    <t>Selective</t>
  </si>
  <si>
    <t>Primary location descriptor.</t>
  </si>
  <si>
    <t>crashLocation2</t>
  </si>
  <si>
    <t>Secondary location descriptor; near-complete but slightly less complete.</t>
  </si>
  <si>
    <t>speedLimit</t>
  </si>
  <si>
    <t>Road context</t>
  </si>
  <si>
    <t>Near-complete contextual field.</t>
  </si>
  <si>
    <t>NumberOfLanes</t>
  </si>
  <si>
    <t>Near-complete lane count field.</t>
  </si>
  <si>
    <t>directionRoleDescription</t>
  </si>
  <si>
    <t>Crash context</t>
  </si>
  <si>
    <t>Near-complete descriptive role field.</t>
  </si>
  <si>
    <t>holiday</t>
  </si>
  <si>
    <t>Calendar context</t>
  </si>
  <si>
    <t>Caution field</t>
  </si>
  <si>
    <t>No</t>
  </si>
  <si>
    <t>Very high missingness; do not rely on as a broadly usable monitoring field.</t>
  </si>
  <si>
    <t>temporarySpeedLimit</t>
  </si>
  <si>
    <t>Roadworks context</t>
  </si>
  <si>
    <t>Extremely high missingness; use only in narrow context.</t>
  </si>
  <si>
    <t>pedestrian</t>
  </si>
  <si>
    <t>Road-user involvement</t>
  </si>
  <si>
    <t>Very high missingness; narrowly populated field.</t>
  </si>
  <si>
    <t>advisorySpeed</t>
  </si>
  <si>
    <t>Road geometry context</t>
  </si>
  <si>
    <t>Extremely high missingness; context-specific only.</t>
  </si>
  <si>
    <t>crashRoadSideRoad</t>
  </si>
  <si>
    <t>Unavailable in v1</t>
  </si>
  <si>
    <t>Present but fully missing in the reviewed extract; not usable in version 1.</t>
  </si>
  <si>
    <t>intersection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</si>
</sst>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charset val="129"/>
      <scheme val="minor"/>
    </font>
    <font>
      <b/>
      <sz val="18"/>
      <color rgb="FFFFFFFF"/>
      <name val="Calibri"/>
    </font>
    <font>
      <sz val="11"/>
      <color rgb="FF404040"/>
      <name val="Calibri"/>
    </font>
    <font>
      <b/>
      <sz val="11"/>
      <color rgb="FF163A5F"/>
      <name val="Calibri"/>
    </font>
    <font>
      <b/>
      <sz val="11"/>
      <color rgb="FF404040"/>
      <name val="Calibri"/>
    </font>
    <font>
      <b/>
      <sz val="12"/>
      <color rgb="FF163A5F"/>
      <name val="Calibri"/>
    </font>
    <font>
      <sz val="12"/>
      <color theme="10"/>
      <name val="Calibri"/>
      <family val="2"/>
      <scheme val="minor"/>
    </font>
    <font>
      <sz val="11"/>
      <color rgb="FF404040"/>
      <name val="Calibri"/>
    </font>
    <font>
      <b/>
      <sz val="11"/>
      <color rgb="FF163A5F"/>
      <name val="Calibri"/>
    </font>
    <font>
      <u/>
      <sz val="12"/>
      <color rgb="FF0563C1"/>
      <name val="Calibri"/>
      <family val="2"/>
      <scheme val="minor"/>
    </font>
    <font>
      <sz val="11"/>
      <color theme="0"/>
      <name val="Calibri"/>
      <family val="2"/>
      <charset val="129"/>
      <scheme val="minor"/>
    </font>
  </fonts>
  <fills count="10">
    <fill>
      <patternFill patternType="none"/>
    </fill>
    <fill>
      <patternFill patternType="gray125"/>
    </fill>
    <fill>
      <patternFill patternType="solid">
        <fgColor rgb="FF163A5F"/>
      </patternFill>
    </fill>
    <fill>
      <patternFill patternType="solid">
        <fgColor rgb="FFF3F5F7"/>
      </patternFill>
    </fill>
    <fill>
      <patternFill patternType="solid">
        <fgColor rgb="FFDCE6F1"/>
      </patternFill>
    </fill>
    <fill>
      <patternFill patternType="solid">
        <fgColor rgb="FFE2F0D9"/>
      </patternFill>
    </fill>
    <fill>
      <patternFill patternType="solid">
        <fgColor rgb="FFFFF2CC"/>
      </patternFill>
    </fill>
    <fill>
      <patternFill patternType="solid">
        <fgColor rgb="FFD9EAD3"/>
      </patternFill>
    </fill>
    <fill>
      <patternFill patternType="solid">
        <fgColor theme="4"/>
      </patternFill>
    </fill>
    <fill>
      <patternFill patternType="solid">
        <fgColor theme="4" tint="0.59999389629810485"/>
        <bgColor indexed="65"/>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style="thin">
        <color rgb="FFD9D9D9"/>
      </left>
      <right/>
      <top/>
      <bottom/>
      <diagonal/>
    </border>
    <border>
      <left/>
      <right style="thin">
        <color rgb="FFD9D9D9"/>
      </right>
      <top style="thin">
        <color rgb="FFD9D9D9"/>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4">
    <xf numFmtId="0" fontId="0" fillId="0" borderId="0"/>
    <xf numFmtId="0" fontId="7" fillId="0" borderId="0"/>
    <xf numFmtId="0" fontId="11" fillId="8" borderId="0" applyNumberFormat="0" applyBorder="0" applyAlignment="0" applyProtection="0"/>
    <xf numFmtId="0" fontId="1" fillId="9" borderId="0" applyNumberFormat="0" applyBorder="0" applyAlignment="0" applyProtection="0"/>
  </cellStyleXfs>
  <cellXfs count="28">
    <xf numFmtId="0" fontId="0" fillId="0" borderId="0" xfId="0"/>
    <xf numFmtId="0" fontId="4" fillId="0" borderId="1" xfId="0" applyFont="1" applyBorder="1" applyAlignment="1">
      <alignment vertical="top"/>
    </xf>
    <xf numFmtId="0" fontId="5" fillId="4" borderId="1" xfId="0" applyFont="1" applyFill="1" applyBorder="1" applyAlignment="1">
      <alignment horizontal="center"/>
    </xf>
    <xf numFmtId="0" fontId="6" fillId="0" borderId="0" xfId="0" applyFont="1" applyAlignment="1">
      <alignment vertical="top"/>
    </xf>
    <xf numFmtId="0" fontId="0" fillId="0" borderId="0" xfId="0" applyAlignment="1">
      <alignment vertical="top" wrapText="1"/>
    </xf>
    <xf numFmtId="10" fontId="0" fillId="0" borderId="0" xfId="0" applyNumberFormat="1" applyAlignment="1">
      <alignment vertical="top" wrapText="1"/>
    </xf>
    <xf numFmtId="0" fontId="5" fillId="4" borderId="1" xfId="0" applyFont="1" applyFill="1" applyBorder="1" applyAlignment="1">
      <alignment horizontal="center" vertical="center" wrapText="1"/>
    </xf>
    <xf numFmtId="0" fontId="10" fillId="0" borderId="0" xfId="1" applyFont="1" applyAlignment="1">
      <alignment vertical="top" wrapText="1"/>
    </xf>
    <xf numFmtId="0" fontId="0" fillId="0" borderId="0" xfId="0" applyAlignment="1">
      <alignment vertical="center" wrapText="1"/>
    </xf>
    <xf numFmtId="0" fontId="3" fillId="3" borderId="0" xfId="0" applyFont="1" applyFill="1" applyAlignment="1">
      <alignment vertical="top" wrapText="1"/>
    </xf>
    <xf numFmtId="0" fontId="0" fillId="0" borderId="0" xfId="0"/>
    <xf numFmtId="0" fontId="3" fillId="5" borderId="1" xfId="0" applyFont="1" applyFill="1" applyBorder="1" applyAlignment="1">
      <alignment vertical="top" wrapText="1"/>
    </xf>
    <xf numFmtId="0" fontId="0" fillId="0" borderId="2" xfId="0" applyBorder="1"/>
    <xf numFmtId="0" fontId="0" fillId="0" borderId="4"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xf numFmtId="0" fontId="9" fillId="6" borderId="1" xfId="0" applyFont="1" applyFill="1" applyBorder="1" applyAlignment="1">
      <alignment horizontal="center" vertical="center" wrapText="1"/>
    </xf>
    <xf numFmtId="0" fontId="0" fillId="0" borderId="9" xfId="0" applyBorder="1"/>
    <xf numFmtId="0" fontId="0" fillId="0" borderId="10" xfId="0" applyBorder="1"/>
    <xf numFmtId="0" fontId="2" fillId="2" borderId="0" xfId="0" applyFont="1" applyFill="1" applyAlignment="1">
      <alignment horizontal="center" vertical="center" wrapText="1"/>
    </xf>
    <xf numFmtId="0" fontId="9" fillId="7"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8" fillId="6" borderId="0" xfId="0" applyFont="1" applyFill="1" applyAlignment="1">
      <alignment vertical="top" wrapText="1"/>
    </xf>
    <xf numFmtId="0" fontId="11" fillId="8" borderId="0" xfId="2" applyAlignment="1">
      <alignment vertical="center" wrapText="1"/>
    </xf>
    <xf numFmtId="0" fontId="1" fillId="9" borderId="0" xfId="3" applyAlignment="1">
      <alignment vertical="top" wrapText="1"/>
    </xf>
  </cellXfs>
  <cellStyles count="4">
    <cellStyle name="40% - Accent1" xfId="3" builtinId="31"/>
    <cellStyle name="Accent1" xfId="2" builtinId="29"/>
    <cellStyle name="Hyperlink" xfId="1" xr:uid="{00000000-0005-0000-0000-000001000000}"/>
    <cellStyle name="Normal" xfId="0" builtinId="0"/>
  </cellStyles>
  <dxfs count="31">
    <dxf>
      <font>
        <color rgb="FF000000"/>
      </font>
      <fill>
        <patternFill>
          <bgColor rgb="FFF4CCCC"/>
        </patternFill>
      </fill>
    </dxf>
    <dxf>
      <font>
        <color rgb="FF000000"/>
      </font>
      <fill>
        <patternFill>
          <bgColor rgb="FFFFF2CC"/>
        </patternFill>
      </fill>
    </dxf>
    <dxf>
      <font>
        <color rgb="FF000000"/>
      </font>
      <fill>
        <patternFill>
          <bgColor rgb="FFE2F0D9"/>
        </patternFill>
      </fill>
    </dxf>
    <dxf>
      <font>
        <color rgb="FF000000"/>
      </font>
      <fill>
        <patternFill>
          <bgColor rgb="FFF4CCCC"/>
        </patternFill>
      </fill>
    </dxf>
    <dxf>
      <font>
        <color rgb="FF000000"/>
      </font>
      <fill>
        <patternFill>
          <bgColor rgb="FFDCE6F1"/>
        </patternFill>
      </fill>
    </dxf>
    <dxf>
      <font>
        <color rgb="FF000000"/>
      </font>
      <fill>
        <patternFill>
          <bgColor rgb="FFE2F0D9"/>
        </patternFill>
      </fill>
    </dxf>
    <dxf>
      <font>
        <color rgb="FF000000"/>
      </font>
      <fill>
        <patternFill>
          <bgColor rgb="FFF4CCCC"/>
        </patternFill>
      </fill>
    </dxf>
    <dxf>
      <font>
        <color rgb="FF000000"/>
      </font>
      <fill>
        <patternFill>
          <bgColor rgb="FFE2F0D9"/>
        </patternFill>
      </fill>
    </dxf>
    <dxf>
      <font>
        <color rgb="FF000000"/>
      </font>
      <fill>
        <patternFill>
          <bgColor rgb="FFF4CCCC"/>
        </patternFill>
      </fill>
    </dxf>
    <dxf>
      <font>
        <color rgb="FF000000"/>
      </font>
      <fill>
        <patternFill>
          <bgColor rgb="FFFFF2CC"/>
        </patternFill>
      </fill>
    </dxf>
    <dxf>
      <font>
        <color rgb="FF000000"/>
      </font>
      <fill>
        <patternFill>
          <bgColor rgb="FFE2F0D9"/>
        </patternFill>
      </fill>
    </dxf>
    <dxf>
      <font>
        <color rgb="FF000000"/>
      </font>
      <fill>
        <patternFill>
          <bgColor rgb="FFFFF2CC"/>
        </patternFill>
      </fill>
    </dxf>
    <dxf>
      <font>
        <color rgb="FF000000"/>
      </font>
      <fill>
        <patternFill>
          <bgColor rgb="FFE2F0D9"/>
        </patternFill>
      </fill>
    </dxf>
    <dxf>
      <font>
        <color rgb="FF000000"/>
      </font>
      <fill>
        <patternFill>
          <bgColor rgb="FFF4CCCC"/>
        </patternFill>
      </fill>
    </dxf>
    <dxf>
      <font>
        <color rgb="FF000000"/>
      </font>
      <fill>
        <patternFill>
          <bgColor rgb="FFFFF2CC"/>
        </patternFill>
      </fill>
    </dxf>
    <dxf>
      <font>
        <color rgb="FF000000"/>
      </font>
      <fill>
        <patternFill>
          <bgColor rgb="FFE2F0D9"/>
        </patternFill>
      </fill>
    </dxf>
    <dxf>
      <font>
        <color rgb="FF000000"/>
      </font>
      <fill>
        <patternFill>
          <bgColor rgb="FFDCE6F1"/>
        </patternFill>
      </fill>
    </dxf>
    <dxf>
      <font>
        <color rgb="FF000000"/>
      </font>
      <fill>
        <patternFill>
          <bgColor rgb="FFF4CCCC"/>
        </patternFill>
      </fill>
    </dxf>
    <dxf>
      <font>
        <color rgb="FF000000"/>
      </font>
      <fill>
        <patternFill>
          <bgColor rgb="FFFFF2CC"/>
        </patternFill>
      </fill>
    </dxf>
    <dxf>
      <font>
        <color rgb="FF000000"/>
      </font>
      <fill>
        <patternFill>
          <bgColor rgb="FFE2F0D9"/>
        </patternFill>
      </fill>
    </dxf>
    <dxf>
      <font>
        <color rgb="FF000000"/>
      </font>
      <fill>
        <patternFill>
          <bgColor rgb="FFE2F0D9"/>
        </patternFill>
      </fill>
    </dxf>
    <dxf>
      <font>
        <color rgb="FF000000"/>
      </font>
      <fill>
        <patternFill>
          <bgColor rgb="FFDCE6F1"/>
        </patternFill>
      </fill>
    </dxf>
    <dxf>
      <font>
        <color rgb="FF000000"/>
      </font>
      <fill>
        <patternFill>
          <bgColor rgb="FFFFF2CC"/>
        </patternFill>
      </fill>
    </dxf>
    <dxf>
      <font>
        <color rgb="FF000000"/>
      </font>
      <fill>
        <patternFill>
          <bgColor rgb="FFFFF2CC"/>
        </patternFill>
      </fill>
    </dxf>
    <dxf>
      <font>
        <color rgb="FF000000"/>
      </font>
      <fill>
        <patternFill>
          <bgColor rgb="FFE2F0D9"/>
        </patternFill>
      </fill>
    </dxf>
    <dxf>
      <font>
        <color rgb="FF000000"/>
      </font>
      <fill>
        <patternFill>
          <bgColor rgb="FFFFF2CC"/>
        </patternFill>
      </fill>
    </dxf>
    <dxf>
      <font>
        <color rgb="FF000000"/>
      </font>
      <fill>
        <patternFill>
          <bgColor rgb="FFE2F0D9"/>
        </patternFill>
      </fill>
    </dxf>
    <dxf>
      <font>
        <color rgb="FF000000"/>
      </font>
      <fill>
        <patternFill>
          <bgColor rgb="FFDCE6F1"/>
        </patternFill>
      </fill>
    </dxf>
    <dxf>
      <font>
        <color rgb="FF000000"/>
      </font>
      <fill>
        <patternFill>
          <bgColor rgb="FFF4CCCC"/>
        </patternFill>
      </fill>
    </dxf>
    <dxf>
      <font>
        <color rgb="FF000000"/>
      </font>
      <fill>
        <patternFill>
          <bgColor rgb="FFFFF2CC"/>
        </patternFill>
      </fill>
    </dxf>
    <dxf>
      <font>
        <color rgb="FF000000"/>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vigationTable" displayName="NavigationTable" ref="A22:C28">
  <autoFilter ref="A22:C28" xr:uid="{00000000-0009-0000-0100-000001000000}"/>
  <tableColumns count="3">
    <tableColumn id="1" xr3:uid="{00000000-0010-0000-0000-000001000000}" name="Sheet"/>
    <tableColumn id="2" xr3:uid="{00000000-0010-0000-0000-000002000000}" name="Purpose"/>
    <tableColumn id="3" xr3:uid="{00000000-0010-0000-0000-000003000000}" name="Us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ourceLinksTable" displayName="SourceLinksTable" ref="E22:F28">
  <autoFilter ref="E22:F28" xr:uid="{00000000-0009-0000-0100-000002000000}"/>
  <tableColumns count="2">
    <tableColumn id="5" xr3:uid="{00000000-0010-0000-0100-000005000000}" name="Reference"/>
    <tableColumn id="6" xr3:uid="{00000000-0010-0000-0100-000006000000}" name="URL"/>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alidationOutcomesTable" displayName="ValidationOutcomesTable" ref="A1:H10">
  <autoFilter ref="A1:H10" xr:uid="{00000000-0009-0000-0100-000003000000}"/>
  <tableColumns count="8">
    <tableColumn id="1" xr3:uid="{00000000-0010-0000-0200-000001000000}" name="Validation Area"/>
    <tableColumn id="2" xr3:uid="{00000000-0010-0000-0200-000002000000}" name="Reviewed Item"/>
    <tableColumn id="3" xr3:uid="{00000000-0010-0000-0200-000003000000}" name="Outcome"/>
    <tableColumn id="4" xr3:uid="{00000000-0010-0000-0200-000004000000}" name="Severity"/>
    <tableColumn id="5" xr3:uid="{00000000-0010-0000-0200-000005000000}" name="Interpretation"/>
    <tableColumn id="6" xr3:uid="{00000000-0010-0000-0200-000006000000}" name="Monitoring Impact"/>
    <tableColumn id="7" xr3:uid="{00000000-0010-0000-0200-000007000000}" name="Notes"/>
    <tableColumn id="8" xr3:uid="{00000000-0010-0000-0200-000008000000}" name="Source Refer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ceptionRegisterTable" displayName="ExceptionRegisterTable" ref="A1:L7" headerRowCellStyle="Accent1">
  <autoFilter ref="A1:L7" xr:uid="{00000000-0009-0000-0100-000004000000}"/>
  <tableColumns count="12">
    <tableColumn id="1" xr3:uid="{00000000-0010-0000-0300-000001000000}" name="Exception ID"/>
    <tableColumn id="2" xr3:uid="{00000000-0010-0000-0300-000002000000}" name="Exception Title"/>
    <tableColumn id="3" xr3:uid="{00000000-0010-0000-0300-000003000000}" name="Area"/>
    <tableColumn id="4" xr3:uid="{00000000-0010-0000-0300-000004000000}" name="Period / Year"/>
    <tableColumn id="5" xr3:uid="{00000000-0010-0000-0300-000005000000}" name="Location Scope"/>
    <tableColumn id="6" xr3:uid="{00000000-0010-0000-0300-000006000000}" name="Severity"/>
    <tableColumn id="7" xr3:uid="{00000000-0010-0000-0300-000007000000}" name="Status"/>
    <tableColumn id="8" xr3:uid="{00000000-0010-0000-0300-000008000000}" name="Stakeholder Interpretation"/>
    <tableColumn id="9" xr3:uid="{00000000-0010-0000-0300-000009000000}" name="Monitoring Action"/>
    <tableColumn id="10" xr3:uid="{00000000-0010-0000-0300-00000A000000}" name="Owner / Review Context"/>
    <tableColumn id="11" xr3:uid="{00000000-0010-0000-0300-00000B000000}" name="Notes"/>
    <tableColumn id="12" xr3:uid="{00000000-0010-0000-0300-00000C000000}" name="Source Reference"/>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onitoringSummaryTable" displayName="MonitoringSummaryTable" ref="A1:G8">
  <autoFilter ref="A1:G8" xr:uid="{00000000-0009-0000-0100-000005000000}"/>
  <tableColumns count="7">
    <tableColumn id="1" xr3:uid="{00000000-0010-0000-0400-000001000000}" name="Reporting Use Case"/>
    <tableColumn id="2" xr3:uid="{00000000-0010-0000-0400-000002000000}" name="Recommended Position"/>
    <tableColumn id="3" xr3:uid="{00000000-0010-0000-0400-000003000000}" name="Confidence Level"/>
    <tableColumn id="4" xr3:uid="{00000000-0010-0000-0400-000004000000}" name="Caveat Required"/>
    <tableColumn id="5" xr3:uid="{00000000-0010-0000-0400-000005000000}" name="Reason"/>
    <tableColumn id="6" xr3:uid="{00000000-0010-0000-0400-000006000000}" name="Suggested Stakeholder Wording"/>
    <tableColumn id="7" xr3:uid="{00000000-0010-0000-0400-000007000000}" name="Source Reference"/>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eographicCaveatsTable" displayName="GeographicCaveatsTable" ref="A1:H8">
  <autoFilter ref="A1:H8" xr:uid="{00000000-0009-0000-0100-000006000000}"/>
  <tableColumns count="8">
    <tableColumn id="1" xr3:uid="{00000000-0010-0000-0500-000001000000}" name="Geographic Topic"/>
    <tableColumn id="2" xr3:uid="{00000000-0010-0000-0500-000002000000}" name="Caveat Type"/>
    <tableColumn id="3" xr3:uid="{00000000-0010-0000-0500-000003000000}" name="Observed Position"/>
    <tableColumn id="4" xr3:uid="{00000000-0010-0000-0500-000004000000}" name="Reporting Implication"/>
    <tableColumn id="5" xr3:uid="{00000000-0010-0000-0500-000005000000}" name="Recommended Use"/>
    <tableColumn id="6" xr3:uid="{00000000-0010-0000-0500-000006000000}" name="Not Recommended For"/>
    <tableColumn id="7" xr3:uid="{00000000-0010-0000-0500-000007000000}" name="Suggested Wording"/>
    <tableColumn id="8" xr3:uid="{00000000-0010-0000-0500-000008000000}" name="Source Reference"/>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iewedFieldsTable" displayName="ReviewedFieldsTable" ref="A1:I24">
  <autoFilter ref="A1:I24" xr:uid="{00000000-0009-0000-0100-000007000000}"/>
  <tableColumns count="9">
    <tableColumn id="1" xr3:uid="{00000000-0010-0000-0600-000001000000}" name="Field Name"/>
    <tableColumn id="2" xr3:uid="{00000000-0010-0000-0600-000002000000}" name="Field Group"/>
    <tableColumn id="3" xr3:uid="{00000000-0010-0000-0600-000003000000}" name="Missing %"/>
    <tableColumn id="4" xr3:uid="{00000000-0010-0000-0600-000004000000}" name="Review Role"/>
    <tableColumn id="5" xr3:uid="{00000000-0010-0000-0600-000005000000}" name="Included in Validation"/>
    <tableColumn id="6" xr3:uid="{00000000-0010-0000-0600-000006000000}" name="Included in Monitoring View"/>
    <tableColumn id="7" xr3:uid="{00000000-0010-0000-0600-000007000000}" name="Interpretation Relevance"/>
    <tableColumn id="8" xr3:uid="{00000000-0010-0000-0600-000008000000}" name="Comments"/>
    <tableColumn id="9" xr3:uid="{00000000-0010-0000-0600-000009000000}" name="Source Reference"/>
  </tableColumns>
  <tableStyleInfo name="TableStyleMedium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raw.githubusercontent.com/DAjik-03/nz-road-safety-data-quality-monitoring/main/docs/executive_summary.md" TargetMode="External"/><Relationship Id="rId7" Type="http://schemas.openxmlformats.org/officeDocument/2006/relationships/table" Target="../tables/table1.xml"/><Relationship Id="rId2" Type="http://schemas.openxmlformats.org/officeDocument/2006/relationships/hyperlink" Target="https://raw.githubusercontent.com/DAjik-03/nz-road-safety-data-quality-monitoring/main/docs/final_reporting_position.md" TargetMode="External"/><Relationship Id="rId1" Type="http://schemas.openxmlformats.org/officeDocument/2006/relationships/hyperlink" Target="https://github.com/DAjik-03/nz-road-safety-data-quality-monitoring" TargetMode="External"/><Relationship Id="rId6" Type="http://schemas.openxmlformats.org/officeDocument/2006/relationships/hyperlink" Target="https://raw.githubusercontent.com/DAjik-03/nz-road-safety-data-quality-monitoring/main/docs/assumptions_and_limitations.md" TargetMode="External"/><Relationship Id="rId5" Type="http://schemas.openxmlformats.org/officeDocument/2006/relationships/hyperlink" Target="https://raw.githubusercontent.com/DAjik-03/nz-road-safety-data-quality-monitoring/main/docs/methodology.md" TargetMode="External"/><Relationship Id="rId4" Type="http://schemas.openxmlformats.org/officeDocument/2006/relationships/hyperlink" Target="https://raw.githubusercontent.com/DAjik-03/nz-road-safety-data-quality-monitoring/main/docs/data_dictionary.m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aw.githubusercontent.com/DAjik-03/nz-road-safety-data-quality-monitoring/main/docs/final_reporting_position.md" TargetMode="External"/><Relationship Id="rId3" Type="http://schemas.openxmlformats.org/officeDocument/2006/relationships/hyperlink" Target="https://raw.githubusercontent.com/DAjik-03/nz-road-safety-data-quality-monitoring/main/docs/data_dictionary.md" TargetMode="External"/><Relationship Id="rId7" Type="http://schemas.openxmlformats.org/officeDocument/2006/relationships/hyperlink" Target="https://raw.githubusercontent.com/DAjik-03/nz-road-safety-data-quality-monitoring/main/docs/data_dictionary.md" TargetMode="External"/><Relationship Id="rId2" Type="http://schemas.openxmlformats.org/officeDocument/2006/relationships/hyperlink" Target="https://github.com/DAjik-03/nz-road-safety-data-quality-monitoring" TargetMode="External"/><Relationship Id="rId1" Type="http://schemas.openxmlformats.org/officeDocument/2006/relationships/hyperlink" Target="https://github.com/DAjik-03/nz-road-safety-data-quality-monitoring" TargetMode="External"/><Relationship Id="rId6" Type="http://schemas.openxmlformats.org/officeDocument/2006/relationships/hyperlink" Target="https://raw.githubusercontent.com/DAjik-03/nz-road-safety-data-quality-monitoring/main/docs/data_dictionary.md" TargetMode="External"/><Relationship Id="rId5" Type="http://schemas.openxmlformats.org/officeDocument/2006/relationships/hyperlink" Target="https://raw.githubusercontent.com/DAjik-03/nz-road-safety-data-quality-monitoring/main/docs/data_dictionary.md" TargetMode="External"/><Relationship Id="rId10" Type="http://schemas.openxmlformats.org/officeDocument/2006/relationships/table" Target="../tables/table3.xml"/><Relationship Id="rId4" Type="http://schemas.openxmlformats.org/officeDocument/2006/relationships/hyperlink" Target="https://raw.githubusercontent.com/DAjik-03/nz-road-safety-data-quality-monitoring/main/docs/final_reporting_position.md" TargetMode="External"/><Relationship Id="rId9" Type="http://schemas.openxmlformats.org/officeDocument/2006/relationships/hyperlink" Target="https://github.com/DAjik-03/nz-road-safety-data-quality-monitorin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aw.githubusercontent.com/DAjik-03/nz-road-safety-data-quality-monitoring/main/docs/data_dictionary.md" TargetMode="External"/><Relationship Id="rId7" Type="http://schemas.openxmlformats.org/officeDocument/2006/relationships/table" Target="../tables/table4.xml"/><Relationship Id="rId2" Type="http://schemas.openxmlformats.org/officeDocument/2006/relationships/hyperlink" Target="https://raw.githubusercontent.com/DAjik-03/nz-road-safety-data-quality-monitoring/main/docs/final_reporting_position.md" TargetMode="External"/><Relationship Id="rId1" Type="http://schemas.openxmlformats.org/officeDocument/2006/relationships/hyperlink" Target="https://raw.githubusercontent.com/DAjik-03/nz-road-safety-data-quality-monitoring/main/docs/final_reporting_position.md" TargetMode="External"/><Relationship Id="rId6" Type="http://schemas.openxmlformats.org/officeDocument/2006/relationships/hyperlink" Target="https://raw.githubusercontent.com/DAjik-03/nz-road-safety-data-quality-monitoring/main/docs/data_dictionary.md" TargetMode="External"/><Relationship Id="rId5" Type="http://schemas.openxmlformats.org/officeDocument/2006/relationships/hyperlink" Target="https://raw.githubusercontent.com/DAjik-03/nz-road-safety-data-quality-monitoring/main/docs/data_dictionary.md" TargetMode="External"/><Relationship Id="rId4" Type="http://schemas.openxmlformats.org/officeDocument/2006/relationships/hyperlink" Target="https://raw.githubusercontent.com/DAjik-03/nz-road-safety-data-quality-monitoring/main/docs/data_dictionary.md"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github.com/DAjik-03/nz-road-safety-data-quality-monitoring" TargetMode="External"/><Relationship Id="rId7" Type="http://schemas.openxmlformats.org/officeDocument/2006/relationships/hyperlink" Target="https://github.com/DAjik-03/nz-road-safety-data-quality-monitoring" TargetMode="External"/><Relationship Id="rId2" Type="http://schemas.openxmlformats.org/officeDocument/2006/relationships/hyperlink" Target="https://raw.githubusercontent.com/DAjik-03/nz-road-safety-data-quality-monitoring/main/docs/final_reporting_position.md" TargetMode="External"/><Relationship Id="rId1" Type="http://schemas.openxmlformats.org/officeDocument/2006/relationships/hyperlink" Target="https://raw.githubusercontent.com/DAjik-03/nz-road-safety-data-quality-monitoring/main/docs/final_reporting_position.md" TargetMode="External"/><Relationship Id="rId6" Type="http://schemas.openxmlformats.org/officeDocument/2006/relationships/hyperlink" Target="https://raw.githubusercontent.com/DAjik-03/nz-road-safety-data-quality-monitoring/main/docs/final_reporting_position.md" TargetMode="External"/><Relationship Id="rId5" Type="http://schemas.openxmlformats.org/officeDocument/2006/relationships/hyperlink" Target="https://raw.githubusercontent.com/DAjik-03/nz-road-safety-data-quality-monitoring/main/docs/final_reporting_position.md" TargetMode="External"/><Relationship Id="rId4" Type="http://schemas.openxmlformats.org/officeDocument/2006/relationships/hyperlink" Target="https://raw.githubusercontent.com/DAjik-03/nz-road-safety-data-quality-monitoring/main/docs/executive_summary.md" TargetMode="External"/></Relationships>
</file>

<file path=xl/worksheets/_rels/sheet5.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hyperlink" Target="https://raw.githubusercontent.com/DAjik-03/nz-road-safety-data-quality-monitoring/main/docs/final_reporting_position.md" TargetMode="External"/><Relationship Id="rId7" Type="http://schemas.openxmlformats.org/officeDocument/2006/relationships/hyperlink" Target="https://raw.githubusercontent.com/DAjik-03/nz-road-safety-data-quality-monitoring/main/docs/executive_summary.md" TargetMode="External"/><Relationship Id="rId2" Type="http://schemas.openxmlformats.org/officeDocument/2006/relationships/hyperlink" Target="https://raw.githubusercontent.com/DAjik-03/nz-road-safety-data-quality-monitoring/main/docs/final_reporting_position.md" TargetMode="External"/><Relationship Id="rId1" Type="http://schemas.openxmlformats.org/officeDocument/2006/relationships/hyperlink" Target="https://raw.githubusercontent.com/DAjik-03/nz-road-safety-data-quality-monitoring/main/docs/final_reporting_position.md" TargetMode="External"/><Relationship Id="rId6" Type="http://schemas.openxmlformats.org/officeDocument/2006/relationships/hyperlink" Target="https://raw.githubusercontent.com/DAjik-03/nz-road-safety-data-quality-monitoring/main/docs/executive_summary.md" TargetMode="External"/><Relationship Id="rId5" Type="http://schemas.openxmlformats.org/officeDocument/2006/relationships/hyperlink" Target="https://raw.githubusercontent.com/DAjik-03/nz-road-safety-data-quality-monitoring/main/docs/final_reporting_position.md" TargetMode="External"/><Relationship Id="rId4" Type="http://schemas.openxmlformats.org/officeDocument/2006/relationships/hyperlink" Target="https://raw.githubusercontent.com/DAjik-03/nz-road-safety-data-quality-monitoring/main/docs/final_reporting_position.m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raw.githubusercontent.com/DAjik-03/nz-road-safety-data-quality-monitoring/main/docs/data_dictionary.md" TargetMode="External"/><Relationship Id="rId13" Type="http://schemas.openxmlformats.org/officeDocument/2006/relationships/hyperlink" Target="https://raw.githubusercontent.com/DAjik-03/nz-road-safety-data-quality-monitoring/main/docs/data_dictionary.md" TargetMode="External"/><Relationship Id="rId18" Type="http://schemas.openxmlformats.org/officeDocument/2006/relationships/hyperlink" Target="https://raw.githubusercontent.com/DAjik-03/nz-road-safety-data-quality-monitoring/main/docs/data_dictionary.md" TargetMode="External"/><Relationship Id="rId3" Type="http://schemas.openxmlformats.org/officeDocument/2006/relationships/hyperlink" Target="https://raw.githubusercontent.com/DAjik-03/nz-road-safety-data-quality-monitoring/main/docs/data_dictionary.md" TargetMode="External"/><Relationship Id="rId21" Type="http://schemas.openxmlformats.org/officeDocument/2006/relationships/hyperlink" Target="https://raw.githubusercontent.com/DAjik-03/nz-road-safety-data-quality-monitoring/main/docs/data_dictionary.md" TargetMode="External"/><Relationship Id="rId7" Type="http://schemas.openxmlformats.org/officeDocument/2006/relationships/hyperlink" Target="https://raw.githubusercontent.com/DAjik-03/nz-road-safety-data-quality-monitoring/main/docs/data_dictionary.md" TargetMode="External"/><Relationship Id="rId12" Type="http://schemas.openxmlformats.org/officeDocument/2006/relationships/hyperlink" Target="https://raw.githubusercontent.com/DAjik-03/nz-road-safety-data-quality-monitoring/main/docs/data_dictionary.md" TargetMode="External"/><Relationship Id="rId17" Type="http://schemas.openxmlformats.org/officeDocument/2006/relationships/hyperlink" Target="https://raw.githubusercontent.com/DAjik-03/nz-road-safety-data-quality-monitoring/main/docs/data_dictionary.md" TargetMode="External"/><Relationship Id="rId2" Type="http://schemas.openxmlformats.org/officeDocument/2006/relationships/hyperlink" Target="https://raw.githubusercontent.com/DAjik-03/nz-road-safety-data-quality-monitoring/main/docs/data_dictionary.md" TargetMode="External"/><Relationship Id="rId16" Type="http://schemas.openxmlformats.org/officeDocument/2006/relationships/hyperlink" Target="https://raw.githubusercontent.com/DAjik-03/nz-road-safety-data-quality-monitoring/main/docs/data_dictionary.md" TargetMode="External"/><Relationship Id="rId20" Type="http://schemas.openxmlformats.org/officeDocument/2006/relationships/hyperlink" Target="https://raw.githubusercontent.com/DAjik-03/nz-road-safety-data-quality-monitoring/main/docs/data_dictionary.md" TargetMode="External"/><Relationship Id="rId1" Type="http://schemas.openxmlformats.org/officeDocument/2006/relationships/hyperlink" Target="https://raw.githubusercontent.com/DAjik-03/nz-road-safety-data-quality-monitoring/main/docs/data_dictionary.md" TargetMode="External"/><Relationship Id="rId6" Type="http://schemas.openxmlformats.org/officeDocument/2006/relationships/hyperlink" Target="https://raw.githubusercontent.com/DAjik-03/nz-road-safety-data-quality-monitoring/main/docs/data_dictionary.md" TargetMode="External"/><Relationship Id="rId11" Type="http://schemas.openxmlformats.org/officeDocument/2006/relationships/hyperlink" Target="https://raw.githubusercontent.com/DAjik-03/nz-road-safety-data-quality-monitoring/main/docs/data_dictionary.md" TargetMode="External"/><Relationship Id="rId24" Type="http://schemas.openxmlformats.org/officeDocument/2006/relationships/table" Target="../tables/table7.xml"/><Relationship Id="rId5" Type="http://schemas.openxmlformats.org/officeDocument/2006/relationships/hyperlink" Target="https://raw.githubusercontent.com/DAjik-03/nz-road-safety-data-quality-monitoring/main/docs/data_dictionary.md" TargetMode="External"/><Relationship Id="rId15" Type="http://schemas.openxmlformats.org/officeDocument/2006/relationships/hyperlink" Target="https://raw.githubusercontent.com/DAjik-03/nz-road-safety-data-quality-monitoring/main/docs/data_dictionary.md" TargetMode="External"/><Relationship Id="rId23" Type="http://schemas.openxmlformats.org/officeDocument/2006/relationships/hyperlink" Target="https://raw.githubusercontent.com/DAjik-03/nz-road-safety-data-quality-monitoring/main/docs/data_dictionary.md" TargetMode="External"/><Relationship Id="rId10" Type="http://schemas.openxmlformats.org/officeDocument/2006/relationships/hyperlink" Target="https://raw.githubusercontent.com/DAjik-03/nz-road-safety-data-quality-monitoring/main/docs/data_dictionary.md" TargetMode="External"/><Relationship Id="rId19" Type="http://schemas.openxmlformats.org/officeDocument/2006/relationships/hyperlink" Target="https://raw.githubusercontent.com/DAjik-03/nz-road-safety-data-quality-monitoring/main/docs/data_dictionary.md" TargetMode="External"/><Relationship Id="rId4" Type="http://schemas.openxmlformats.org/officeDocument/2006/relationships/hyperlink" Target="https://raw.githubusercontent.com/DAjik-03/nz-road-safety-data-quality-monitoring/main/docs/data_dictionary.md" TargetMode="External"/><Relationship Id="rId9" Type="http://schemas.openxmlformats.org/officeDocument/2006/relationships/hyperlink" Target="https://raw.githubusercontent.com/DAjik-03/nz-road-safety-data-quality-monitoring/main/docs/data_dictionary.md" TargetMode="External"/><Relationship Id="rId14" Type="http://schemas.openxmlformats.org/officeDocument/2006/relationships/hyperlink" Target="https://raw.githubusercontent.com/DAjik-03/nz-road-safety-data-quality-monitoring/main/docs/data_dictionary.md" TargetMode="External"/><Relationship Id="rId22" Type="http://schemas.openxmlformats.org/officeDocument/2006/relationships/hyperlink" Target="https://raw.githubusercontent.com/DAjik-03/nz-road-safety-data-quality-monitoring/main/docs/data_dictionary.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H49"/>
  <sheetViews>
    <sheetView showGridLines="0" zoomScale="55" zoomScaleNormal="55" workbookViewId="0">
      <selection activeCell="I24" sqref="I24"/>
    </sheetView>
  </sheetViews>
  <sheetFormatPr defaultRowHeight="15"/>
  <cols>
    <col min="1" max="1" width="26" customWidth="1"/>
    <col min="2" max="2" width="40" customWidth="1"/>
    <col min="3" max="3" width="35" customWidth="1"/>
    <col min="4" max="4" width="18" customWidth="1"/>
    <col min="5" max="5" width="24" customWidth="1"/>
    <col min="6" max="6" width="72" customWidth="1"/>
    <col min="7" max="8" width="18" customWidth="1"/>
    <col min="9" max="9" width="24" customWidth="1"/>
  </cols>
  <sheetData>
    <row r="1" spans="2:8" ht="27.95" customHeight="1"/>
    <row r="2" spans="2:8" ht="24" customHeight="1">
      <c r="B2" s="22" t="s">
        <v>0</v>
      </c>
      <c r="C2" s="10"/>
      <c r="D2" s="10"/>
      <c r="E2" s="10"/>
      <c r="F2" s="10"/>
      <c r="G2" s="10"/>
      <c r="H2" s="10"/>
    </row>
    <row r="3" spans="2:8">
      <c r="B3" s="10"/>
      <c r="C3" s="10"/>
      <c r="D3" s="10"/>
      <c r="E3" s="10"/>
      <c r="F3" s="10"/>
      <c r="G3" s="10"/>
      <c r="H3" s="10"/>
    </row>
    <row r="5" spans="2:8" ht="57.95" customHeight="1">
      <c r="B5" s="9" t="s">
        <v>1</v>
      </c>
      <c r="C5" s="10"/>
      <c r="D5" s="10"/>
      <c r="E5" s="10"/>
      <c r="F5" s="10"/>
      <c r="G5" s="10"/>
      <c r="H5" s="10"/>
    </row>
    <row r="6" spans="2:8" ht="21" customHeight="1">
      <c r="B6" s="10"/>
      <c r="C6" s="10"/>
      <c r="D6" s="10"/>
      <c r="E6" s="10"/>
      <c r="F6" s="10"/>
      <c r="G6" s="10"/>
      <c r="H6" s="10"/>
    </row>
    <row r="7" spans="2:8" ht="21" customHeight="1">
      <c r="B7" s="10"/>
      <c r="C7" s="10"/>
      <c r="D7" s="10"/>
      <c r="E7" s="10"/>
      <c r="F7" s="10"/>
      <c r="G7" s="10"/>
      <c r="H7" s="10"/>
    </row>
    <row r="8" spans="2:8" ht="21" customHeight="1">
      <c r="B8" s="10"/>
      <c r="C8" s="10"/>
      <c r="D8" s="10"/>
      <c r="E8" s="10"/>
      <c r="F8" s="10"/>
      <c r="G8" s="10"/>
      <c r="H8" s="10"/>
    </row>
    <row r="9" spans="2:8" ht="30" customHeight="1">
      <c r="B9" s="23" t="s">
        <v>2</v>
      </c>
      <c r="C9" s="21"/>
      <c r="D9" s="24" t="s">
        <v>3</v>
      </c>
      <c r="E9" s="21"/>
      <c r="F9" s="19" t="s">
        <v>4</v>
      </c>
      <c r="G9" s="20"/>
      <c r="H9" s="21"/>
    </row>
    <row r="10" spans="2:8" ht="21" customHeight="1"/>
    <row r="11" spans="2:8" ht="21" customHeight="1">
      <c r="B11" s="1" t="s">
        <v>5</v>
      </c>
      <c r="C11" s="2">
        <v>913464</v>
      </c>
      <c r="E11" s="1" t="s">
        <v>6</v>
      </c>
      <c r="F11" s="2">
        <f>COUNTA('Exception Register'!A2:A999)</f>
        <v>6</v>
      </c>
    </row>
    <row r="12" spans="2:8" ht="21" customHeight="1">
      <c r="B12" s="1" t="s">
        <v>7</v>
      </c>
      <c r="C12" s="2">
        <v>72</v>
      </c>
      <c r="E12" s="1" t="s">
        <v>8</v>
      </c>
      <c r="F12" s="2">
        <f>COUNTIF('Exception Register'!G:G,"Open for monitoring")</f>
        <v>2</v>
      </c>
    </row>
    <row r="13" spans="2:8" ht="21" customHeight="1">
      <c r="B13" s="1" t="s">
        <v>9</v>
      </c>
      <c r="C13" s="2">
        <f>COUNTA(A23:A28)</f>
        <v>6</v>
      </c>
      <c r="E13" s="1" t="s">
        <v>10</v>
      </c>
      <c r="F13" s="6" t="s">
        <v>11</v>
      </c>
    </row>
    <row r="14" spans="2:8" ht="21" customHeight="1"/>
    <row r="15" spans="2:8" ht="21" customHeight="1"/>
    <row r="16" spans="2:8" ht="21" customHeight="1">
      <c r="B16" s="3" t="s">
        <v>12</v>
      </c>
    </row>
    <row r="17" spans="1:8" ht="60" customHeight="1">
      <c r="B17" s="11" t="s">
        <v>13</v>
      </c>
      <c r="C17" s="12"/>
      <c r="D17" s="12"/>
      <c r="E17" s="12"/>
      <c r="F17" s="12"/>
      <c r="G17" s="12"/>
      <c r="H17" s="13"/>
    </row>
    <row r="18" spans="1:8" ht="21" customHeight="1">
      <c r="B18" s="14"/>
      <c r="C18" s="10"/>
      <c r="D18" s="10"/>
      <c r="E18" s="10"/>
      <c r="F18" s="10"/>
      <c r="G18" s="10"/>
      <c r="H18" s="15"/>
    </row>
    <row r="19" spans="1:8" ht="21" customHeight="1">
      <c r="B19" s="14"/>
      <c r="C19" s="10"/>
      <c r="D19" s="10"/>
      <c r="E19" s="10"/>
      <c r="F19" s="10"/>
      <c r="G19" s="10"/>
      <c r="H19" s="15"/>
    </row>
    <row r="20" spans="1:8" ht="21" customHeight="1">
      <c r="B20" s="16"/>
      <c r="C20" s="17"/>
      <c r="D20" s="17"/>
      <c r="E20" s="17"/>
      <c r="F20" s="17"/>
      <c r="G20" s="17"/>
      <c r="H20" s="18"/>
    </row>
    <row r="21" spans="1:8" ht="21" customHeight="1"/>
    <row r="22" spans="1:8" ht="21" customHeight="1">
      <c r="A22" s="4" t="s">
        <v>14</v>
      </c>
      <c r="B22" s="4" t="s">
        <v>15</v>
      </c>
      <c r="C22" s="4" t="s">
        <v>16</v>
      </c>
      <c r="E22" s="4" t="s">
        <v>17</v>
      </c>
      <c r="F22" s="4" t="s">
        <v>18</v>
      </c>
    </row>
    <row r="23" spans="1:8" ht="24" customHeight="1">
      <c r="A23" s="7" t="s">
        <v>19</v>
      </c>
      <c r="B23" s="4" t="s">
        <v>20</v>
      </c>
      <c r="C23" s="4" t="s">
        <v>21</v>
      </c>
      <c r="E23" s="4" t="s">
        <v>22</v>
      </c>
      <c r="F23" s="7" t="s">
        <v>23</v>
      </c>
    </row>
    <row r="24" spans="1:8" ht="24" customHeight="1">
      <c r="A24" s="7" t="s">
        <v>24</v>
      </c>
      <c r="B24" s="4" t="s">
        <v>25</v>
      </c>
      <c r="C24" s="4" t="s">
        <v>26</v>
      </c>
      <c r="E24" s="4" t="s">
        <v>27</v>
      </c>
      <c r="F24" s="7" t="s">
        <v>28</v>
      </c>
    </row>
    <row r="25" spans="1:8" ht="24" customHeight="1">
      <c r="A25" s="7" t="s">
        <v>29</v>
      </c>
      <c r="B25" s="4" t="s">
        <v>30</v>
      </c>
      <c r="C25" s="4" t="s">
        <v>31</v>
      </c>
      <c r="E25" s="4" t="s">
        <v>32</v>
      </c>
      <c r="F25" s="7" t="s">
        <v>33</v>
      </c>
    </row>
    <row r="26" spans="1:8" ht="24" customHeight="1">
      <c r="A26" s="7" t="s">
        <v>34</v>
      </c>
      <c r="B26" s="4" t="s">
        <v>35</v>
      </c>
      <c r="C26" s="4" t="s">
        <v>36</v>
      </c>
      <c r="E26" s="4" t="s">
        <v>37</v>
      </c>
      <c r="F26" s="7" t="s">
        <v>38</v>
      </c>
    </row>
    <row r="27" spans="1:8" ht="24" customHeight="1">
      <c r="A27" s="7" t="s">
        <v>39</v>
      </c>
      <c r="B27" s="4" t="s">
        <v>40</v>
      </c>
      <c r="C27" s="4" t="s">
        <v>41</v>
      </c>
      <c r="E27" s="4" t="s">
        <v>42</v>
      </c>
      <c r="F27" s="7" t="s">
        <v>43</v>
      </c>
    </row>
    <row r="28" spans="1:8" ht="24" customHeight="1">
      <c r="A28" s="7" t="s">
        <v>44</v>
      </c>
      <c r="B28" s="4" t="s">
        <v>45</v>
      </c>
      <c r="C28" s="4" t="s">
        <v>46</v>
      </c>
      <c r="E28" s="4" t="s">
        <v>47</v>
      </c>
      <c r="F28" s="7" t="s">
        <v>48</v>
      </c>
    </row>
    <row r="29" spans="1:8" ht="21" customHeight="1"/>
    <row r="30" spans="1:8" ht="21" customHeight="1"/>
    <row r="31" spans="1:8" ht="21" customHeight="1">
      <c r="B31" s="3" t="s">
        <v>49</v>
      </c>
    </row>
    <row r="32" spans="1:8" ht="45.95" customHeight="1">
      <c r="B32" s="25" t="s">
        <v>50</v>
      </c>
      <c r="C32" s="10"/>
      <c r="D32" s="10"/>
      <c r="E32" s="10"/>
      <c r="F32" s="10"/>
      <c r="G32" s="10"/>
      <c r="H32" s="10"/>
    </row>
    <row r="33" spans="2:8" ht="21" customHeight="1">
      <c r="B33" s="10"/>
      <c r="C33" s="10"/>
      <c r="D33" s="10"/>
      <c r="E33" s="10"/>
      <c r="F33" s="10"/>
      <c r="G33" s="10"/>
      <c r="H33" s="10"/>
    </row>
    <row r="34" spans="2:8" ht="21" customHeight="1">
      <c r="B34" s="10"/>
      <c r="C34" s="10"/>
      <c r="D34" s="10"/>
      <c r="E34" s="10"/>
      <c r="F34" s="10"/>
      <c r="G34" s="10"/>
      <c r="H34" s="10"/>
    </row>
    <row r="35" spans="2:8" ht="21" customHeight="1"/>
    <row r="36" spans="2:8" ht="21" customHeight="1"/>
    <row r="37" spans="2:8" ht="21" customHeight="1"/>
    <row r="38" spans="2:8" ht="21" customHeight="1"/>
    <row r="39" spans="2:8" ht="21" customHeight="1"/>
    <row r="40" spans="2:8" ht="21" customHeight="1"/>
    <row r="41" spans="2:8" ht="21" customHeight="1"/>
    <row r="42" spans="2:8" ht="21" customHeight="1"/>
    <row r="43" spans="2:8" ht="21" customHeight="1"/>
    <row r="44" spans="2:8" ht="21" customHeight="1"/>
    <row r="45" spans="2:8" ht="21" customHeight="1"/>
    <row r="46" spans="2:8" ht="21" customHeight="1"/>
    <row r="47" spans="2:8" ht="21" customHeight="1"/>
    <row r="48" spans="2:8" ht="21" customHeight="1"/>
    <row r="49" ht="21" customHeight="1"/>
  </sheetData>
  <mergeCells count="7">
    <mergeCell ref="B32:H34"/>
    <mergeCell ref="B5:H8"/>
    <mergeCell ref="B17:H20"/>
    <mergeCell ref="F9:H9"/>
    <mergeCell ref="B2:H3"/>
    <mergeCell ref="B9:C9"/>
    <mergeCell ref="D9:E9"/>
  </mergeCells>
  <hyperlinks>
    <hyperlink ref="A23" location="'Cover &amp; Reporting Position'!A1" display="Cover &amp; Reporting Position" xr:uid="{00000000-0004-0000-0000-000000000000}"/>
    <hyperlink ref="F23" r:id="rId1" xr:uid="{00000000-0004-0000-0000-000001000000}"/>
    <hyperlink ref="A24" location="'Validation Outcomes'!A1" display="Validation Outcomes" xr:uid="{00000000-0004-0000-0000-000002000000}"/>
    <hyperlink ref="F24" r:id="rId2" xr:uid="{00000000-0004-0000-0000-000003000000}"/>
    <hyperlink ref="A25" location="'Exception Register'!A1" display="Exception Register" xr:uid="{00000000-0004-0000-0000-000004000000}"/>
    <hyperlink ref="F25" r:id="rId3" xr:uid="{00000000-0004-0000-0000-000005000000}"/>
    <hyperlink ref="A26" location="'Monitoring Summary'!A1" display="Monitoring Summary" xr:uid="{00000000-0004-0000-0000-000006000000}"/>
    <hyperlink ref="F26" r:id="rId4" xr:uid="{00000000-0004-0000-0000-000007000000}"/>
    <hyperlink ref="A27" location="'Geographic Caveats'!A1" display="Geographic Caveats" xr:uid="{00000000-0004-0000-0000-000008000000}"/>
    <hyperlink ref="F27" r:id="rId5" xr:uid="{00000000-0004-0000-0000-000009000000}"/>
    <hyperlink ref="A28" location="'Reviewed Fields Overview'!A1" display="Reviewed Fields Overview" xr:uid="{00000000-0004-0000-0000-00000A000000}"/>
    <hyperlink ref="F28" r:id="rId6" xr:uid="{00000000-0004-0000-0000-00000B000000}"/>
  </hyperlinks>
  <pageMargins left="0.7" right="0.7" top="0.75" bottom="0.75" header="0.3" footer="0.3"/>
  <tableParts count="2">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F81BD"/>
  </sheetPr>
  <dimension ref="A1:H10"/>
  <sheetViews>
    <sheetView workbookViewId="0">
      <pane ySplit="1" topLeftCell="A2" activePane="bottomLeft" state="frozen"/>
      <selection pane="bottomLeft" activeCell="J4" sqref="J4"/>
    </sheetView>
  </sheetViews>
  <sheetFormatPr defaultRowHeight="15"/>
  <cols>
    <col min="1" max="1" width="20" customWidth="1"/>
    <col min="2" max="2" width="28" customWidth="1"/>
    <col min="3" max="3" width="22" customWidth="1"/>
    <col min="4" max="4" width="12" customWidth="1"/>
    <col min="5" max="5" width="49" customWidth="1"/>
    <col min="6" max="6" width="35.5703125" customWidth="1"/>
    <col min="7" max="7" width="36.7109375" customWidth="1"/>
    <col min="8" max="8" width="24" customWidth="1"/>
  </cols>
  <sheetData>
    <row r="1" spans="1:8">
      <c r="A1" s="8" t="s">
        <v>51</v>
      </c>
      <c r="B1" s="8" t="s">
        <v>52</v>
      </c>
      <c r="C1" s="8" t="s">
        <v>53</v>
      </c>
      <c r="D1" s="8" t="s">
        <v>54</v>
      </c>
      <c r="E1" s="8" t="s">
        <v>55</v>
      </c>
      <c r="F1" s="8" t="s">
        <v>56</v>
      </c>
      <c r="G1" s="8" t="s">
        <v>57</v>
      </c>
      <c r="H1" s="8" t="s">
        <v>58</v>
      </c>
    </row>
    <row r="2" spans="1:8" ht="40.5" customHeight="1">
      <c r="A2" s="4" t="s">
        <v>59</v>
      </c>
      <c r="B2" s="4" t="s">
        <v>60</v>
      </c>
      <c r="C2" s="4" t="s">
        <v>61</v>
      </c>
      <c r="D2" s="4" t="s">
        <v>62</v>
      </c>
      <c r="E2" s="4" t="s">
        <v>63</v>
      </c>
      <c r="F2" s="4" t="s">
        <v>64</v>
      </c>
      <c r="G2" s="4" t="s">
        <v>65</v>
      </c>
      <c r="H2" s="7" t="s">
        <v>66</v>
      </c>
    </row>
    <row r="3" spans="1:8" ht="49.5" customHeight="1">
      <c r="A3" s="4" t="s">
        <v>67</v>
      </c>
      <c r="B3" s="4" t="s">
        <v>68</v>
      </c>
      <c r="C3" s="4" t="s">
        <v>61</v>
      </c>
      <c r="D3" s="4" t="s">
        <v>62</v>
      </c>
      <c r="E3" s="4" t="s">
        <v>69</v>
      </c>
      <c r="F3" s="4" t="s">
        <v>70</v>
      </c>
      <c r="G3" s="4" t="s">
        <v>71</v>
      </c>
      <c r="H3" s="7" t="s">
        <v>66</v>
      </c>
    </row>
    <row r="4" spans="1:8" ht="45" customHeight="1">
      <c r="A4" s="4" t="s">
        <v>72</v>
      </c>
      <c r="B4" s="4" t="s">
        <v>73</v>
      </c>
      <c r="C4" s="4" t="s">
        <v>61</v>
      </c>
      <c r="D4" s="4" t="s">
        <v>62</v>
      </c>
      <c r="E4" s="4" t="s">
        <v>74</v>
      </c>
      <c r="F4" s="4" t="s">
        <v>75</v>
      </c>
      <c r="G4" s="4" t="s">
        <v>76</v>
      </c>
      <c r="H4" s="7" t="s">
        <v>37</v>
      </c>
    </row>
    <row r="5" spans="1:8" ht="33.950000000000003" customHeight="1">
      <c r="A5" s="4" t="s">
        <v>77</v>
      </c>
      <c r="B5" s="4" t="s">
        <v>78</v>
      </c>
      <c r="C5" s="4" t="s">
        <v>79</v>
      </c>
      <c r="D5" s="4" t="s">
        <v>80</v>
      </c>
      <c r="E5" s="4" t="s">
        <v>81</v>
      </c>
      <c r="F5" s="4" t="s">
        <v>82</v>
      </c>
      <c r="G5" s="4" t="s">
        <v>83</v>
      </c>
      <c r="H5" s="7" t="s">
        <v>27</v>
      </c>
    </row>
    <row r="6" spans="1:8" ht="45" customHeight="1">
      <c r="A6" s="4" t="s">
        <v>84</v>
      </c>
      <c r="B6" s="4" t="s">
        <v>85</v>
      </c>
      <c r="C6" s="4" t="s">
        <v>86</v>
      </c>
      <c r="D6" s="4" t="s">
        <v>62</v>
      </c>
      <c r="E6" s="4" t="s">
        <v>87</v>
      </c>
      <c r="F6" s="4" t="s">
        <v>88</v>
      </c>
      <c r="G6" s="4" t="s">
        <v>89</v>
      </c>
      <c r="H6" s="7" t="s">
        <v>37</v>
      </c>
    </row>
    <row r="7" spans="1:8" ht="45" customHeight="1">
      <c r="A7" s="4" t="s">
        <v>90</v>
      </c>
      <c r="B7" s="4" t="s">
        <v>91</v>
      </c>
      <c r="C7" s="4" t="s">
        <v>86</v>
      </c>
      <c r="D7" s="4" t="s">
        <v>62</v>
      </c>
      <c r="E7" s="4" t="s">
        <v>92</v>
      </c>
      <c r="F7" s="4" t="s">
        <v>93</v>
      </c>
      <c r="G7" s="4" t="s">
        <v>94</v>
      </c>
      <c r="H7" s="7" t="s">
        <v>37</v>
      </c>
    </row>
    <row r="8" spans="1:8" ht="43.5" customHeight="1">
      <c r="A8" s="4" t="s">
        <v>95</v>
      </c>
      <c r="B8" s="4" t="s">
        <v>96</v>
      </c>
      <c r="C8" s="4" t="s">
        <v>86</v>
      </c>
      <c r="D8" s="4" t="s">
        <v>62</v>
      </c>
      <c r="E8" s="4" t="s">
        <v>97</v>
      </c>
      <c r="F8" s="4" t="s">
        <v>98</v>
      </c>
      <c r="G8" s="4" t="s">
        <v>99</v>
      </c>
      <c r="H8" s="7" t="s">
        <v>37</v>
      </c>
    </row>
    <row r="9" spans="1:8" ht="50.25" customHeight="1">
      <c r="A9" s="4" t="s">
        <v>100</v>
      </c>
      <c r="B9" s="4" t="s">
        <v>101</v>
      </c>
      <c r="C9" s="4" t="s">
        <v>102</v>
      </c>
      <c r="D9" s="4" t="s">
        <v>80</v>
      </c>
      <c r="E9" s="4" t="s">
        <v>103</v>
      </c>
      <c r="F9" s="4" t="s">
        <v>104</v>
      </c>
      <c r="G9" s="4" t="s">
        <v>105</v>
      </c>
      <c r="H9" s="7" t="s">
        <v>27</v>
      </c>
    </row>
    <row r="10" spans="1:8" ht="45" customHeight="1">
      <c r="A10" s="4" t="s">
        <v>106</v>
      </c>
      <c r="B10" s="4" t="s">
        <v>107</v>
      </c>
      <c r="C10" s="4" t="s">
        <v>79</v>
      </c>
      <c r="D10" s="4" t="s">
        <v>80</v>
      </c>
      <c r="E10" s="4" t="s">
        <v>108</v>
      </c>
      <c r="F10" s="4" t="s">
        <v>109</v>
      </c>
      <c r="G10" s="4" t="s">
        <v>110</v>
      </c>
      <c r="H10" s="7" t="s">
        <v>66</v>
      </c>
    </row>
  </sheetData>
  <conditionalFormatting sqref="C2:C10">
    <cfRule type="expression" dxfId="30" priority="1">
      <formula>$C2="Fit for use"</formula>
    </cfRule>
    <cfRule type="expression" dxfId="29" priority="2">
      <formula>$C2="Fit for use with caveat"</formula>
    </cfRule>
    <cfRule type="expression" dxfId="28" priority="3">
      <formula>$C2="Monitored exception"</formula>
    </cfRule>
    <cfRule type="expression" dxfId="27" priority="4">
      <formula>$C2="Context noted"</formula>
    </cfRule>
  </conditionalFormatting>
  <conditionalFormatting sqref="D2:D10">
    <cfRule type="expression" dxfId="26" priority="5">
      <formula>$D2="Low"</formula>
    </cfRule>
    <cfRule type="expression" dxfId="25" priority="6">
      <formula>$D2="Medium"</formula>
    </cfRule>
  </conditionalFormatting>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s>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5A11"/>
  </sheetPr>
  <dimension ref="A1:L7"/>
  <sheetViews>
    <sheetView workbookViewId="0">
      <pane xSplit="1" ySplit="1" topLeftCell="B3" activePane="bottomRight" state="frozen"/>
      <selection pane="topRight"/>
      <selection pane="bottomLeft"/>
      <selection pane="bottomRight" activeCell="H6" sqref="H6"/>
    </sheetView>
  </sheetViews>
  <sheetFormatPr defaultRowHeight="52.5" customHeight="1"/>
  <cols>
    <col min="1" max="1" width="11" customWidth="1"/>
    <col min="2" max="2" width="28" customWidth="1"/>
    <col min="3" max="3" width="20" customWidth="1"/>
    <col min="4" max="4" width="16" customWidth="1"/>
    <col min="5" max="5" width="24" customWidth="1"/>
    <col min="6" max="6" width="11" customWidth="1"/>
    <col min="7" max="7" width="22" customWidth="1"/>
    <col min="8" max="8" width="49.28515625" customWidth="1"/>
    <col min="9" max="9" width="44.7109375" customWidth="1"/>
    <col min="10" max="10" width="22" customWidth="1"/>
    <col min="11" max="11" width="43.140625" customWidth="1"/>
    <col min="12" max="12" width="24" customWidth="1"/>
  </cols>
  <sheetData>
    <row r="1" spans="1:12" ht="52.5" customHeight="1">
      <c r="A1" s="26" t="s">
        <v>111</v>
      </c>
      <c r="B1" s="26" t="s">
        <v>112</v>
      </c>
      <c r="C1" s="26" t="s">
        <v>113</v>
      </c>
      <c r="D1" s="26" t="s">
        <v>114</v>
      </c>
      <c r="E1" s="26" t="s">
        <v>115</v>
      </c>
      <c r="F1" s="26" t="s">
        <v>54</v>
      </c>
      <c r="G1" s="26" t="s">
        <v>116</v>
      </c>
      <c r="H1" s="26" t="s">
        <v>117</v>
      </c>
      <c r="I1" s="26" t="s">
        <v>118</v>
      </c>
      <c r="J1" s="26" t="s">
        <v>119</v>
      </c>
      <c r="K1" s="26" t="s">
        <v>57</v>
      </c>
      <c r="L1" s="26" t="s">
        <v>58</v>
      </c>
    </row>
    <row r="2" spans="1:12" ht="52.5" customHeight="1">
      <c r="A2" s="27" t="s">
        <v>120</v>
      </c>
      <c r="B2" s="27" t="s">
        <v>121</v>
      </c>
      <c r="C2" s="27" t="s">
        <v>77</v>
      </c>
      <c r="D2" s="27" t="s">
        <v>122</v>
      </c>
      <c r="E2" s="27" t="s">
        <v>123</v>
      </c>
      <c r="F2" s="4" t="s">
        <v>80</v>
      </c>
      <c r="G2" s="4" t="s">
        <v>8</v>
      </c>
      <c r="H2" s="27" t="s">
        <v>124</v>
      </c>
      <c r="I2" s="27" t="s">
        <v>125</v>
      </c>
      <c r="J2" s="27" t="s">
        <v>126</v>
      </c>
      <c r="K2" s="27" t="s">
        <v>127</v>
      </c>
      <c r="L2" s="7" t="s">
        <v>27</v>
      </c>
    </row>
    <row r="3" spans="1:12" ht="52.5" customHeight="1">
      <c r="A3" s="4" t="s">
        <v>128</v>
      </c>
      <c r="B3" s="4" t="s">
        <v>129</v>
      </c>
      <c r="C3" s="4" t="s">
        <v>130</v>
      </c>
      <c r="D3" s="4" t="s">
        <v>131</v>
      </c>
      <c r="E3" s="4" t="s">
        <v>132</v>
      </c>
      <c r="F3" s="4" t="s">
        <v>80</v>
      </c>
      <c r="G3" s="4" t="s">
        <v>8</v>
      </c>
      <c r="H3" s="4" t="s">
        <v>133</v>
      </c>
      <c r="I3" s="4" t="s">
        <v>134</v>
      </c>
      <c r="J3" s="4" t="s">
        <v>126</v>
      </c>
      <c r="K3" s="4" t="s">
        <v>135</v>
      </c>
      <c r="L3" s="7" t="s">
        <v>27</v>
      </c>
    </row>
    <row r="4" spans="1:12" ht="52.5" customHeight="1">
      <c r="A4" s="27" t="s">
        <v>136</v>
      </c>
      <c r="B4" s="27" t="s">
        <v>137</v>
      </c>
      <c r="C4" s="27" t="s">
        <v>138</v>
      </c>
      <c r="D4" s="27" t="s">
        <v>139</v>
      </c>
      <c r="E4" s="27" t="s">
        <v>140</v>
      </c>
      <c r="F4" s="4" t="s">
        <v>62</v>
      </c>
      <c r="G4" s="4" t="s">
        <v>141</v>
      </c>
      <c r="H4" s="27" t="s">
        <v>142</v>
      </c>
      <c r="I4" s="27" t="s">
        <v>143</v>
      </c>
      <c r="J4" s="27" t="s">
        <v>144</v>
      </c>
      <c r="K4" s="27" t="s">
        <v>145</v>
      </c>
      <c r="L4" s="7" t="s">
        <v>37</v>
      </c>
    </row>
    <row r="5" spans="1:12" ht="52.5" customHeight="1">
      <c r="A5" s="4" t="s">
        <v>146</v>
      </c>
      <c r="B5" s="4" t="s">
        <v>147</v>
      </c>
      <c r="C5" s="4" t="s">
        <v>138</v>
      </c>
      <c r="D5" s="4" t="s">
        <v>139</v>
      </c>
      <c r="E5" s="4" t="s">
        <v>140</v>
      </c>
      <c r="F5" s="4" t="s">
        <v>62</v>
      </c>
      <c r="G5" s="4" t="s">
        <v>141</v>
      </c>
      <c r="H5" s="4" t="s">
        <v>148</v>
      </c>
      <c r="I5" s="4" t="s">
        <v>149</v>
      </c>
      <c r="J5" s="4" t="s">
        <v>144</v>
      </c>
      <c r="K5" s="4" t="s">
        <v>150</v>
      </c>
      <c r="L5" s="7" t="s">
        <v>37</v>
      </c>
    </row>
    <row r="6" spans="1:12" ht="52.5" customHeight="1">
      <c r="A6" s="27" t="s">
        <v>151</v>
      </c>
      <c r="B6" s="27" t="s">
        <v>152</v>
      </c>
      <c r="C6" s="27" t="s">
        <v>153</v>
      </c>
      <c r="D6" s="27" t="s">
        <v>139</v>
      </c>
      <c r="E6" s="27" t="s">
        <v>154</v>
      </c>
      <c r="F6" s="4" t="s">
        <v>62</v>
      </c>
      <c r="G6" s="4" t="s">
        <v>155</v>
      </c>
      <c r="H6" s="27" t="s">
        <v>156</v>
      </c>
      <c r="I6" s="27" t="s">
        <v>157</v>
      </c>
      <c r="J6" s="27" t="s">
        <v>144</v>
      </c>
      <c r="K6" s="27" t="s">
        <v>158</v>
      </c>
      <c r="L6" s="7" t="s">
        <v>37</v>
      </c>
    </row>
    <row r="7" spans="1:12" ht="52.5" customHeight="1">
      <c r="A7" s="4" t="s">
        <v>159</v>
      </c>
      <c r="B7" s="4" t="s">
        <v>160</v>
      </c>
      <c r="C7" s="4" t="s">
        <v>161</v>
      </c>
      <c r="D7" s="4" t="s">
        <v>139</v>
      </c>
      <c r="E7" s="4" t="s">
        <v>154</v>
      </c>
      <c r="F7" s="4" t="s">
        <v>62</v>
      </c>
      <c r="G7" s="4" t="s">
        <v>155</v>
      </c>
      <c r="H7" s="4" t="s">
        <v>162</v>
      </c>
      <c r="I7" s="4" t="s">
        <v>163</v>
      </c>
      <c r="J7" s="4" t="s">
        <v>144</v>
      </c>
      <c r="K7" s="4" t="s">
        <v>164</v>
      </c>
      <c r="L7" s="7" t="s">
        <v>37</v>
      </c>
    </row>
  </sheetData>
  <conditionalFormatting sqref="F2:F7">
    <cfRule type="expression" dxfId="24" priority="1">
      <formula>$F2="Low"</formula>
    </cfRule>
    <cfRule type="expression" dxfId="23" priority="2">
      <formula>$F2="Medium"</formula>
    </cfRule>
  </conditionalFormatting>
  <conditionalFormatting sqref="G2:G7">
    <cfRule type="expression" dxfId="22" priority="3">
      <formula>$G2="Open for monitoring"</formula>
    </cfRule>
    <cfRule type="expression" dxfId="21" priority="4">
      <formula>$G2="Context noted"</formula>
    </cfRule>
    <cfRule type="expression" dxfId="20" priority="5">
      <formula>$G2="No immediate reporting impact"</formula>
    </cfRule>
  </conditionalFormatting>
  <hyperlinks>
    <hyperlink ref="L2" r:id="rId1" xr:uid="{00000000-0004-0000-0200-000000000000}"/>
    <hyperlink ref="L3" r:id="rId2" xr:uid="{00000000-0004-0000-0200-000001000000}"/>
    <hyperlink ref="L4" r:id="rId3" xr:uid="{00000000-0004-0000-0200-000002000000}"/>
    <hyperlink ref="L5" r:id="rId4" xr:uid="{00000000-0004-0000-0200-000003000000}"/>
    <hyperlink ref="L6" r:id="rId5" xr:uid="{00000000-0004-0000-0200-000004000000}"/>
    <hyperlink ref="L7" r:id="rId6" xr:uid="{00000000-0004-0000-0200-000005000000}"/>
  </hyperlinks>
  <pageMargins left="0.7" right="0.7" top="0.75" bottom="0.75" header="0.3" footer="0.3"/>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BACC6"/>
  </sheetPr>
  <dimension ref="A1:G8"/>
  <sheetViews>
    <sheetView workbookViewId="0">
      <pane ySplit="1" topLeftCell="A2" activePane="bottomLeft" state="frozen"/>
      <selection pane="bottomLeft" activeCell="C10" sqref="C10"/>
    </sheetView>
  </sheetViews>
  <sheetFormatPr defaultRowHeight="51.75" customHeight="1"/>
  <cols>
    <col min="1" max="1" width="26" customWidth="1"/>
    <col min="2" max="2" width="22" customWidth="1"/>
    <col min="3" max="3" width="15" customWidth="1"/>
    <col min="4" max="4" width="23.85546875" customWidth="1"/>
    <col min="5" max="5" width="46.5703125" customWidth="1"/>
    <col min="6" max="6" width="63" customWidth="1"/>
    <col min="7" max="7" width="24" customWidth="1"/>
  </cols>
  <sheetData>
    <row r="1" spans="1:7" ht="51.75" customHeight="1">
      <c r="A1" s="8" t="s">
        <v>165</v>
      </c>
      <c r="B1" s="8" t="s">
        <v>166</v>
      </c>
      <c r="C1" s="8" t="s">
        <v>167</v>
      </c>
      <c r="D1" s="8" t="s">
        <v>168</v>
      </c>
      <c r="E1" s="8" t="s">
        <v>169</v>
      </c>
      <c r="F1" s="8" t="s">
        <v>170</v>
      </c>
      <c r="G1" s="8" t="s">
        <v>58</v>
      </c>
    </row>
    <row r="2" spans="1:7" ht="51.75" customHeight="1">
      <c r="A2" s="27" t="s">
        <v>171</v>
      </c>
      <c r="B2" s="4" t="s">
        <v>61</v>
      </c>
      <c r="C2" s="4" t="s">
        <v>172</v>
      </c>
      <c r="D2" s="27" t="s">
        <v>173</v>
      </c>
      <c r="E2" s="27" t="s">
        <v>174</v>
      </c>
      <c r="F2" s="27" t="s">
        <v>175</v>
      </c>
      <c r="G2" s="7" t="s">
        <v>27</v>
      </c>
    </row>
    <row r="3" spans="1:7" ht="51.75" customHeight="1">
      <c r="A3" s="4" t="s">
        <v>176</v>
      </c>
      <c r="B3" s="4" t="s">
        <v>61</v>
      </c>
      <c r="C3" s="4" t="s">
        <v>172</v>
      </c>
      <c r="D3" s="4" t="s">
        <v>173</v>
      </c>
      <c r="E3" s="4" t="s">
        <v>177</v>
      </c>
      <c r="F3" s="4" t="s">
        <v>178</v>
      </c>
      <c r="G3" s="7" t="s">
        <v>27</v>
      </c>
    </row>
    <row r="4" spans="1:7" ht="51.75" customHeight="1">
      <c r="A4" s="27" t="s">
        <v>179</v>
      </c>
      <c r="B4" s="4" t="s">
        <v>61</v>
      </c>
      <c r="C4" s="4" t="s">
        <v>172</v>
      </c>
      <c r="D4" s="27" t="s">
        <v>180</v>
      </c>
      <c r="E4" s="27" t="s">
        <v>181</v>
      </c>
      <c r="F4" s="27" t="s">
        <v>182</v>
      </c>
      <c r="G4" s="7" t="s">
        <v>66</v>
      </c>
    </row>
    <row r="5" spans="1:7" ht="51.75" customHeight="1">
      <c r="A5" s="4" t="s">
        <v>183</v>
      </c>
      <c r="B5" s="4" t="s">
        <v>61</v>
      </c>
      <c r="C5" s="4" t="s">
        <v>172</v>
      </c>
      <c r="D5" s="4" t="s">
        <v>184</v>
      </c>
      <c r="E5" s="4" t="s">
        <v>185</v>
      </c>
      <c r="F5" s="4" t="s">
        <v>186</v>
      </c>
      <c r="G5" s="7" t="s">
        <v>32</v>
      </c>
    </row>
    <row r="6" spans="1:7" ht="51.75" customHeight="1">
      <c r="A6" s="27" t="s">
        <v>187</v>
      </c>
      <c r="B6" s="4" t="s">
        <v>79</v>
      </c>
      <c r="C6" s="4" t="s">
        <v>80</v>
      </c>
      <c r="D6" s="27" t="s">
        <v>188</v>
      </c>
      <c r="E6" s="27" t="s">
        <v>189</v>
      </c>
      <c r="F6" s="27" t="s">
        <v>190</v>
      </c>
      <c r="G6" s="7" t="s">
        <v>27</v>
      </c>
    </row>
    <row r="7" spans="1:7" ht="51.75" customHeight="1">
      <c r="A7" s="4" t="s">
        <v>191</v>
      </c>
      <c r="B7" s="4" t="s">
        <v>192</v>
      </c>
      <c r="C7" s="4" t="s">
        <v>80</v>
      </c>
      <c r="D7" s="4" t="s">
        <v>188</v>
      </c>
      <c r="E7" s="4" t="s">
        <v>193</v>
      </c>
      <c r="F7" s="4" t="s">
        <v>194</v>
      </c>
      <c r="G7" s="7" t="s">
        <v>27</v>
      </c>
    </row>
    <row r="8" spans="1:7" ht="51.75" customHeight="1">
      <c r="A8" s="27" t="s">
        <v>195</v>
      </c>
      <c r="B8" s="4" t="s">
        <v>86</v>
      </c>
      <c r="C8" s="4" t="s">
        <v>62</v>
      </c>
      <c r="D8" s="27" t="s">
        <v>188</v>
      </c>
      <c r="E8" s="27" t="s">
        <v>196</v>
      </c>
      <c r="F8" s="27" t="s">
        <v>197</v>
      </c>
      <c r="G8" s="7" t="s">
        <v>66</v>
      </c>
    </row>
  </sheetData>
  <conditionalFormatting sqref="B2:B8">
    <cfRule type="expression" dxfId="19" priority="1">
      <formula>$B2="Suitable"</formula>
    </cfRule>
    <cfRule type="expression" dxfId="18" priority="2">
      <formula>$B2="Suitable with caveat"</formula>
    </cfRule>
    <cfRule type="expression" dxfId="17" priority="3">
      <formula>$B2="Use with caution"</formula>
    </cfRule>
    <cfRule type="expression" dxfId="16" priority="4">
      <formula>$B2="Not the primary version 1 use case"</formula>
    </cfRule>
  </conditionalFormatting>
  <conditionalFormatting sqref="C2:C8">
    <cfRule type="expression" dxfId="15" priority="5">
      <formula>$C2="High"</formula>
    </cfRule>
    <cfRule type="expression" dxfId="14" priority="6">
      <formula>$C2="Medium"</formula>
    </cfRule>
    <cfRule type="expression" dxfId="13" priority="7">
      <formula>$C2="Low"</formula>
    </cfRule>
  </conditionalFormatting>
  <hyperlinks>
    <hyperlink ref="G2" r:id="rId1" xr:uid="{00000000-0004-0000-0300-000000000000}"/>
    <hyperlink ref="G3" r:id="rId2" xr:uid="{00000000-0004-0000-0300-000001000000}"/>
    <hyperlink ref="G4" r:id="rId3" xr:uid="{00000000-0004-0000-0300-000002000000}"/>
    <hyperlink ref="G5" r:id="rId4" xr:uid="{00000000-0004-0000-0300-000003000000}"/>
    <hyperlink ref="G6" r:id="rId5" xr:uid="{00000000-0004-0000-0300-000004000000}"/>
    <hyperlink ref="G7" r:id="rId6" xr:uid="{00000000-0004-0000-0300-000005000000}"/>
    <hyperlink ref="G8" r:id="rId7" xr:uid="{00000000-0004-0000-0300-000006000000}"/>
  </hyperlinks>
  <pageMargins left="0.7" right="0.7" top="0.75" bottom="0.75" header="0.3" footer="0.3"/>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9A227"/>
  </sheetPr>
  <dimension ref="A1:H8"/>
  <sheetViews>
    <sheetView workbookViewId="0">
      <pane ySplit="1" topLeftCell="A2" activePane="bottomLeft" state="frozen"/>
      <selection pane="bottomLeft" activeCell="F16" sqref="F16"/>
    </sheetView>
  </sheetViews>
  <sheetFormatPr defaultRowHeight="15"/>
  <cols>
    <col min="1" max="1" width="26.28515625" customWidth="1"/>
    <col min="2" max="2" width="18" customWidth="1"/>
    <col min="3" max="3" width="37.7109375" customWidth="1"/>
    <col min="4" max="4" width="36.5703125" customWidth="1"/>
    <col min="5" max="5" width="20" customWidth="1"/>
    <col min="6" max="6" width="28" customWidth="1"/>
    <col min="7" max="7" width="68" customWidth="1"/>
    <col min="8" max="8" width="24" customWidth="1"/>
  </cols>
  <sheetData>
    <row r="1" spans="1:8">
      <c r="A1" s="8" t="s">
        <v>198</v>
      </c>
      <c r="B1" s="8" t="s">
        <v>199</v>
      </c>
      <c r="C1" s="8" t="s">
        <v>200</v>
      </c>
      <c r="D1" s="8" t="s">
        <v>201</v>
      </c>
      <c r="E1" s="8" t="s">
        <v>202</v>
      </c>
      <c r="F1" s="8" t="s">
        <v>203</v>
      </c>
      <c r="G1" s="8" t="s">
        <v>204</v>
      </c>
      <c r="H1" s="8" t="s">
        <v>58</v>
      </c>
    </row>
    <row r="2" spans="1:8" ht="45" customHeight="1">
      <c r="A2" s="4" t="s">
        <v>205</v>
      </c>
      <c r="B2" s="4" t="s">
        <v>62</v>
      </c>
      <c r="C2" s="4" t="s">
        <v>206</v>
      </c>
      <c r="D2" s="4" t="s">
        <v>207</v>
      </c>
      <c r="E2" s="4" t="s">
        <v>61</v>
      </c>
      <c r="F2" s="4" t="s">
        <v>208</v>
      </c>
      <c r="G2" s="4" t="s">
        <v>209</v>
      </c>
      <c r="H2" s="7" t="s">
        <v>27</v>
      </c>
    </row>
    <row r="3" spans="1:8" ht="45.75" customHeight="1">
      <c r="A3" s="4" t="s">
        <v>210</v>
      </c>
      <c r="B3" s="4" t="s">
        <v>62</v>
      </c>
      <c r="C3" s="4" t="s">
        <v>211</v>
      </c>
      <c r="D3" s="4" t="s">
        <v>212</v>
      </c>
      <c r="E3" s="4" t="s">
        <v>61</v>
      </c>
      <c r="F3" s="4" t="s">
        <v>208</v>
      </c>
      <c r="G3" s="4" t="s">
        <v>213</v>
      </c>
      <c r="H3" s="7" t="s">
        <v>27</v>
      </c>
    </row>
    <row r="4" spans="1:8" ht="44.25" customHeight="1">
      <c r="A4" s="4" t="s">
        <v>214</v>
      </c>
      <c r="B4" s="4" t="s">
        <v>80</v>
      </c>
      <c r="C4" s="4" t="s">
        <v>215</v>
      </c>
      <c r="D4" s="4" t="s">
        <v>216</v>
      </c>
      <c r="E4" s="4" t="s">
        <v>79</v>
      </c>
      <c r="F4" s="4" t="s">
        <v>217</v>
      </c>
      <c r="G4" s="4" t="s">
        <v>218</v>
      </c>
      <c r="H4" s="7" t="s">
        <v>27</v>
      </c>
    </row>
    <row r="5" spans="1:8" ht="52.5" customHeight="1">
      <c r="A5" s="4" t="s">
        <v>219</v>
      </c>
      <c r="B5" s="4" t="s">
        <v>80</v>
      </c>
      <c r="C5" s="4" t="s">
        <v>220</v>
      </c>
      <c r="D5" s="4" t="s">
        <v>221</v>
      </c>
      <c r="E5" s="4" t="s">
        <v>79</v>
      </c>
      <c r="F5" s="4" t="s">
        <v>222</v>
      </c>
      <c r="G5" s="4" t="s">
        <v>223</v>
      </c>
      <c r="H5" s="7" t="s">
        <v>27</v>
      </c>
    </row>
    <row r="6" spans="1:8" ht="57.75" customHeight="1">
      <c r="A6" s="4" t="s">
        <v>224</v>
      </c>
      <c r="B6" s="4" t="s">
        <v>80</v>
      </c>
      <c r="C6" s="4" t="s">
        <v>225</v>
      </c>
      <c r="D6" s="4" t="s">
        <v>226</v>
      </c>
      <c r="E6" s="4" t="s">
        <v>192</v>
      </c>
      <c r="F6" s="4" t="s">
        <v>227</v>
      </c>
      <c r="G6" s="4" t="s">
        <v>228</v>
      </c>
      <c r="H6" s="7" t="s">
        <v>27</v>
      </c>
    </row>
    <row r="7" spans="1:8" ht="51" customHeight="1">
      <c r="A7" s="4" t="s">
        <v>229</v>
      </c>
      <c r="B7" s="4" t="s">
        <v>80</v>
      </c>
      <c r="C7" s="4" t="s">
        <v>230</v>
      </c>
      <c r="D7" s="4" t="s">
        <v>231</v>
      </c>
      <c r="E7" s="4" t="s">
        <v>192</v>
      </c>
      <c r="F7" s="4" t="s">
        <v>232</v>
      </c>
      <c r="G7" s="4" t="s">
        <v>233</v>
      </c>
      <c r="H7" s="7" t="s">
        <v>32</v>
      </c>
    </row>
    <row r="8" spans="1:8" ht="48" customHeight="1">
      <c r="A8" s="4" t="s">
        <v>234</v>
      </c>
      <c r="B8" s="4" t="s">
        <v>80</v>
      </c>
      <c r="C8" s="4" t="s">
        <v>235</v>
      </c>
      <c r="D8" s="4" t="s">
        <v>236</v>
      </c>
      <c r="E8" s="4" t="s">
        <v>192</v>
      </c>
      <c r="F8" s="4" t="s">
        <v>237</v>
      </c>
      <c r="G8" s="4" t="s">
        <v>238</v>
      </c>
      <c r="H8" s="7" t="s">
        <v>32</v>
      </c>
    </row>
  </sheetData>
  <conditionalFormatting sqref="B2:B8">
    <cfRule type="expression" dxfId="12" priority="1">
      <formula>$B2="Low"</formula>
    </cfRule>
    <cfRule type="expression" dxfId="11" priority="2">
      <formula>$B2="Medium"</formula>
    </cfRule>
  </conditionalFormatting>
  <conditionalFormatting sqref="E2:E8">
    <cfRule type="expression" dxfId="10" priority="3">
      <formula>$E2="Suitable"</formula>
    </cfRule>
    <cfRule type="expression" dxfId="9" priority="4">
      <formula>$E2="Suitable with caveat"</formula>
    </cfRule>
    <cfRule type="expression" dxfId="8" priority="5">
      <formula>$E2="Use with caution"</formula>
    </cfRule>
  </conditionalFormatting>
  <hyperlinks>
    <hyperlink ref="H2" r:id="rId1" xr:uid="{00000000-0004-0000-0400-000000000000}"/>
    <hyperlink ref="H3" r:id="rId2" xr:uid="{00000000-0004-0000-0400-000001000000}"/>
    <hyperlink ref="H4" r:id="rId3" xr:uid="{00000000-0004-0000-0400-000002000000}"/>
    <hyperlink ref="H5" r:id="rId4" xr:uid="{00000000-0004-0000-0400-000003000000}"/>
    <hyperlink ref="H6" r:id="rId5" xr:uid="{00000000-0004-0000-0400-000004000000}"/>
    <hyperlink ref="H7" r:id="rId6" xr:uid="{00000000-0004-0000-0400-000005000000}"/>
    <hyperlink ref="H8" r:id="rId7" xr:uid="{00000000-0004-0000-0400-000006000000}"/>
  </hyperlinks>
  <pageMargins left="0.7" right="0.7" top="0.75" bottom="0.75" header="0.3" footer="0.3"/>
  <tableParts count="1">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8C8D"/>
  </sheetPr>
  <dimension ref="A1:I24"/>
  <sheetViews>
    <sheetView tabSelected="1" workbookViewId="0">
      <pane ySplit="1" topLeftCell="A2" activePane="bottomLeft" state="frozen"/>
      <selection pane="bottomLeft" activeCell="I2" sqref="I2"/>
    </sheetView>
  </sheetViews>
  <sheetFormatPr defaultRowHeight="15"/>
  <cols>
    <col min="1" max="1" width="22" customWidth="1"/>
    <col min="2" max="2" width="18" customWidth="1"/>
    <col min="3" max="3" width="12" customWidth="1"/>
    <col min="4" max="4" width="21" customWidth="1"/>
    <col min="5" max="5" width="20" customWidth="1"/>
    <col min="6" max="7" width="24" customWidth="1"/>
    <col min="8" max="8" width="48" customWidth="1"/>
    <col min="9" max="9" width="24" customWidth="1"/>
  </cols>
  <sheetData>
    <row r="1" spans="1:9" ht="30">
      <c r="A1" s="8" t="s">
        <v>239</v>
      </c>
      <c r="B1" s="8" t="s">
        <v>240</v>
      </c>
      <c r="C1" s="8" t="s">
        <v>241</v>
      </c>
      <c r="D1" s="8" t="s">
        <v>242</v>
      </c>
      <c r="E1" s="8" t="s">
        <v>243</v>
      </c>
      <c r="F1" s="8" t="s">
        <v>244</v>
      </c>
      <c r="G1" s="8" t="s">
        <v>245</v>
      </c>
      <c r="H1" s="8" t="s">
        <v>246</v>
      </c>
      <c r="I1" s="8" t="s">
        <v>58</v>
      </c>
    </row>
    <row r="2" spans="1:9" ht="30" customHeight="1">
      <c r="A2" s="4" t="s">
        <v>247</v>
      </c>
      <c r="B2" s="4" t="s">
        <v>248</v>
      </c>
      <c r="C2" s="5">
        <v>0</v>
      </c>
      <c r="D2" s="4" t="s">
        <v>249</v>
      </c>
      <c r="E2" s="4" t="s">
        <v>188</v>
      </c>
      <c r="F2" s="4" t="s">
        <v>188</v>
      </c>
      <c r="G2" s="4" t="s">
        <v>172</v>
      </c>
      <c r="H2" s="4" t="s">
        <v>250</v>
      </c>
      <c r="I2" s="7" t="s">
        <v>37</v>
      </c>
    </row>
    <row r="3" spans="1:9" ht="30" customHeight="1">
      <c r="A3" s="4" t="s">
        <v>251</v>
      </c>
      <c r="B3" s="4" t="s">
        <v>248</v>
      </c>
      <c r="C3" s="5">
        <v>0</v>
      </c>
      <c r="D3" s="4" t="s">
        <v>249</v>
      </c>
      <c r="E3" s="4" t="s">
        <v>188</v>
      </c>
      <c r="F3" s="4" t="s">
        <v>188</v>
      </c>
      <c r="G3" s="4" t="s">
        <v>172</v>
      </c>
      <c r="H3" s="4" t="s">
        <v>252</v>
      </c>
      <c r="I3" s="7" t="s">
        <v>37</v>
      </c>
    </row>
    <row r="4" spans="1:9" ht="30" customHeight="1">
      <c r="A4" s="4" t="s">
        <v>253</v>
      </c>
      <c r="B4" s="4" t="s">
        <v>54</v>
      </c>
      <c r="C4" s="5">
        <v>0</v>
      </c>
      <c r="D4" s="4" t="s">
        <v>254</v>
      </c>
      <c r="E4" s="4" t="s">
        <v>188</v>
      </c>
      <c r="F4" s="4" t="s">
        <v>188</v>
      </c>
      <c r="G4" s="4" t="s">
        <v>172</v>
      </c>
      <c r="H4" s="4" t="s">
        <v>255</v>
      </c>
      <c r="I4" s="7" t="s">
        <v>37</v>
      </c>
    </row>
    <row r="5" spans="1:9" ht="30" customHeight="1">
      <c r="A5" s="4" t="s">
        <v>256</v>
      </c>
      <c r="B5" s="4" t="s">
        <v>54</v>
      </c>
      <c r="C5" s="5">
        <v>0</v>
      </c>
      <c r="D5" s="4" t="s">
        <v>257</v>
      </c>
      <c r="E5" s="4" t="s">
        <v>188</v>
      </c>
      <c r="F5" s="4" t="s">
        <v>188</v>
      </c>
      <c r="G5" s="4" t="s">
        <v>172</v>
      </c>
      <c r="H5" s="4" t="s">
        <v>258</v>
      </c>
      <c r="I5" s="7" t="s">
        <v>37</v>
      </c>
    </row>
    <row r="6" spans="1:9" ht="30" customHeight="1">
      <c r="A6" s="4" t="s">
        <v>259</v>
      </c>
      <c r="B6" s="4" t="s">
        <v>54</v>
      </c>
      <c r="C6" s="5">
        <v>0</v>
      </c>
      <c r="D6" s="4" t="s">
        <v>257</v>
      </c>
      <c r="E6" s="4" t="s">
        <v>188</v>
      </c>
      <c r="F6" s="4" t="s">
        <v>188</v>
      </c>
      <c r="G6" s="4" t="s">
        <v>172</v>
      </c>
      <c r="H6" s="4" t="s">
        <v>260</v>
      </c>
      <c r="I6" s="7" t="s">
        <v>37</v>
      </c>
    </row>
    <row r="7" spans="1:9" ht="30" customHeight="1">
      <c r="A7" s="4" t="s">
        <v>261</v>
      </c>
      <c r="B7" s="4" t="s">
        <v>54</v>
      </c>
      <c r="C7" s="5">
        <v>0</v>
      </c>
      <c r="D7" s="4" t="s">
        <v>257</v>
      </c>
      <c r="E7" s="4" t="s">
        <v>188</v>
      </c>
      <c r="F7" s="4" t="s">
        <v>188</v>
      </c>
      <c r="G7" s="4" t="s">
        <v>172</v>
      </c>
      <c r="H7" s="4" t="s">
        <v>262</v>
      </c>
      <c r="I7" s="7" t="s">
        <v>37</v>
      </c>
    </row>
    <row r="8" spans="1:9" ht="30" customHeight="1">
      <c r="A8" s="4" t="s">
        <v>263</v>
      </c>
      <c r="B8" s="4" t="s">
        <v>264</v>
      </c>
      <c r="C8" s="5">
        <v>3.8E-3</v>
      </c>
      <c r="D8" s="4" t="s">
        <v>265</v>
      </c>
      <c r="E8" s="4" t="s">
        <v>188</v>
      </c>
      <c r="F8" s="4" t="s">
        <v>188</v>
      </c>
      <c r="G8" s="4" t="s">
        <v>172</v>
      </c>
      <c r="H8" s="4" t="s">
        <v>266</v>
      </c>
      <c r="I8" s="7" t="s">
        <v>37</v>
      </c>
    </row>
    <row r="9" spans="1:9" ht="30" customHeight="1">
      <c r="A9" s="4" t="s">
        <v>267</v>
      </c>
      <c r="B9" s="4" t="s">
        <v>264</v>
      </c>
      <c r="C9" s="5">
        <v>0</v>
      </c>
      <c r="D9" s="4" t="s">
        <v>265</v>
      </c>
      <c r="E9" s="4" t="s">
        <v>188</v>
      </c>
      <c r="F9" s="4" t="s">
        <v>188</v>
      </c>
      <c r="G9" s="4" t="s">
        <v>172</v>
      </c>
      <c r="H9" s="4" t="s">
        <v>268</v>
      </c>
      <c r="I9" s="7" t="s">
        <v>37</v>
      </c>
    </row>
    <row r="10" spans="1:9" ht="30" customHeight="1">
      <c r="A10" s="4" t="s">
        <v>269</v>
      </c>
      <c r="B10" s="4" t="s">
        <v>264</v>
      </c>
      <c r="C10" s="5">
        <v>0</v>
      </c>
      <c r="D10" s="4" t="s">
        <v>265</v>
      </c>
      <c r="E10" s="4" t="s">
        <v>188</v>
      </c>
      <c r="F10" s="4" t="s">
        <v>188</v>
      </c>
      <c r="G10" s="4" t="s">
        <v>172</v>
      </c>
      <c r="H10" s="4" t="s">
        <v>270</v>
      </c>
      <c r="I10" s="7" t="s">
        <v>37</v>
      </c>
    </row>
    <row r="11" spans="1:9" ht="30" customHeight="1">
      <c r="A11" s="4" t="s">
        <v>271</v>
      </c>
      <c r="B11" s="4" t="s">
        <v>264</v>
      </c>
      <c r="C11" s="5">
        <v>0</v>
      </c>
      <c r="D11" s="4" t="s">
        <v>272</v>
      </c>
      <c r="E11" s="4" t="s">
        <v>188</v>
      </c>
      <c r="F11" s="4" t="s">
        <v>188</v>
      </c>
      <c r="G11" s="4" t="s">
        <v>80</v>
      </c>
      <c r="H11" s="4" t="s">
        <v>273</v>
      </c>
      <c r="I11" s="7" t="s">
        <v>37</v>
      </c>
    </row>
    <row r="12" spans="1:9" ht="30" customHeight="1">
      <c r="A12" s="4" t="s">
        <v>274</v>
      </c>
      <c r="B12" s="4" t="s">
        <v>264</v>
      </c>
      <c r="C12" s="5">
        <v>0</v>
      </c>
      <c r="D12" s="4" t="s">
        <v>272</v>
      </c>
      <c r="E12" s="4" t="s">
        <v>188</v>
      </c>
      <c r="F12" s="4" t="s">
        <v>188</v>
      </c>
      <c r="G12" s="4" t="s">
        <v>80</v>
      </c>
      <c r="H12" s="4" t="s">
        <v>275</v>
      </c>
      <c r="I12" s="7" t="s">
        <v>37</v>
      </c>
    </row>
    <row r="13" spans="1:9" ht="30" customHeight="1">
      <c r="A13" s="4" t="s">
        <v>276</v>
      </c>
      <c r="B13" s="4" t="s">
        <v>277</v>
      </c>
      <c r="C13" s="5">
        <v>0</v>
      </c>
      <c r="D13" s="4" t="s">
        <v>278</v>
      </c>
      <c r="E13" s="4" t="s">
        <v>188</v>
      </c>
      <c r="F13" s="4" t="s">
        <v>188</v>
      </c>
      <c r="G13" s="4" t="s">
        <v>80</v>
      </c>
      <c r="H13" s="4" t="s">
        <v>279</v>
      </c>
      <c r="I13" s="7" t="s">
        <v>37</v>
      </c>
    </row>
    <row r="14" spans="1:9" ht="30" customHeight="1">
      <c r="A14" s="4" t="s">
        <v>280</v>
      </c>
      <c r="B14" s="4" t="s">
        <v>281</v>
      </c>
      <c r="C14" s="5">
        <v>0</v>
      </c>
      <c r="D14" s="4" t="s">
        <v>282</v>
      </c>
      <c r="E14" s="4" t="s">
        <v>188</v>
      </c>
      <c r="F14" s="4" t="s">
        <v>283</v>
      </c>
      <c r="G14" s="4" t="s">
        <v>80</v>
      </c>
      <c r="H14" s="4" t="s">
        <v>284</v>
      </c>
      <c r="I14" s="7" t="s">
        <v>37</v>
      </c>
    </row>
    <row r="15" spans="1:9" ht="30" customHeight="1">
      <c r="A15" s="4" t="s">
        <v>285</v>
      </c>
      <c r="B15" s="4" t="s">
        <v>281</v>
      </c>
      <c r="C15" s="5">
        <v>2.0999999999999999E-3</v>
      </c>
      <c r="D15" s="4" t="s">
        <v>282</v>
      </c>
      <c r="E15" s="4" t="s">
        <v>188</v>
      </c>
      <c r="F15" s="4" t="s">
        <v>283</v>
      </c>
      <c r="G15" s="4" t="s">
        <v>80</v>
      </c>
      <c r="H15" s="4" t="s">
        <v>286</v>
      </c>
      <c r="I15" s="7" t="s">
        <v>37</v>
      </c>
    </row>
    <row r="16" spans="1:9" ht="30" customHeight="1">
      <c r="A16" s="4" t="s">
        <v>287</v>
      </c>
      <c r="B16" s="4" t="s">
        <v>288</v>
      </c>
      <c r="C16" s="5">
        <v>1.6000000000000001E-3</v>
      </c>
      <c r="D16" s="4" t="s">
        <v>282</v>
      </c>
      <c r="E16" s="4" t="s">
        <v>188</v>
      </c>
      <c r="F16" s="4" t="s">
        <v>283</v>
      </c>
      <c r="G16" s="4" t="s">
        <v>80</v>
      </c>
      <c r="H16" s="4" t="s">
        <v>289</v>
      </c>
      <c r="I16" s="7" t="s">
        <v>37</v>
      </c>
    </row>
    <row r="17" spans="1:9" ht="30" customHeight="1">
      <c r="A17" s="4" t="s">
        <v>290</v>
      </c>
      <c r="B17" s="4" t="s">
        <v>288</v>
      </c>
      <c r="C17" s="5">
        <v>2.5000000000000001E-3</v>
      </c>
      <c r="D17" s="4" t="s">
        <v>282</v>
      </c>
      <c r="E17" s="4" t="s">
        <v>188</v>
      </c>
      <c r="F17" s="4" t="s">
        <v>283</v>
      </c>
      <c r="G17" s="4" t="s">
        <v>80</v>
      </c>
      <c r="H17" s="4" t="s">
        <v>291</v>
      </c>
      <c r="I17" s="7" t="s">
        <v>37</v>
      </c>
    </row>
    <row r="18" spans="1:9" ht="30" customHeight="1">
      <c r="A18" s="4" t="s">
        <v>292</v>
      </c>
      <c r="B18" s="4" t="s">
        <v>293</v>
      </c>
      <c r="C18" s="5">
        <v>1E-4</v>
      </c>
      <c r="D18" s="4" t="s">
        <v>282</v>
      </c>
      <c r="E18" s="4" t="s">
        <v>188</v>
      </c>
      <c r="F18" s="4" t="s">
        <v>283</v>
      </c>
      <c r="G18" s="4" t="s">
        <v>80</v>
      </c>
      <c r="H18" s="4" t="s">
        <v>294</v>
      </c>
      <c r="I18" s="7" t="s">
        <v>37</v>
      </c>
    </row>
    <row r="19" spans="1:9" ht="30" customHeight="1">
      <c r="A19" s="4" t="s">
        <v>295</v>
      </c>
      <c r="B19" s="4" t="s">
        <v>296</v>
      </c>
      <c r="C19" s="5">
        <v>0.94479999999999997</v>
      </c>
      <c r="D19" s="4" t="s">
        <v>297</v>
      </c>
      <c r="E19" s="4" t="s">
        <v>188</v>
      </c>
      <c r="F19" s="4" t="s">
        <v>298</v>
      </c>
      <c r="G19" s="4" t="s">
        <v>62</v>
      </c>
      <c r="H19" s="4" t="s">
        <v>299</v>
      </c>
      <c r="I19" s="7" t="s">
        <v>37</v>
      </c>
    </row>
    <row r="20" spans="1:9" ht="30" customHeight="1">
      <c r="A20" s="4" t="s">
        <v>300</v>
      </c>
      <c r="B20" s="4" t="s">
        <v>301</v>
      </c>
      <c r="C20" s="5">
        <v>0.98280000000000001</v>
      </c>
      <c r="D20" s="4" t="s">
        <v>297</v>
      </c>
      <c r="E20" s="4" t="s">
        <v>188</v>
      </c>
      <c r="F20" s="4" t="s">
        <v>298</v>
      </c>
      <c r="G20" s="4" t="s">
        <v>62</v>
      </c>
      <c r="H20" s="4" t="s">
        <v>302</v>
      </c>
      <c r="I20" s="7" t="s">
        <v>37</v>
      </c>
    </row>
    <row r="21" spans="1:9" ht="30" customHeight="1">
      <c r="A21" s="4" t="s">
        <v>303</v>
      </c>
      <c r="B21" s="4" t="s">
        <v>304</v>
      </c>
      <c r="C21" s="5">
        <v>0.96689999999999998</v>
      </c>
      <c r="D21" s="4" t="s">
        <v>297</v>
      </c>
      <c r="E21" s="4" t="s">
        <v>188</v>
      </c>
      <c r="F21" s="4" t="s">
        <v>298</v>
      </c>
      <c r="G21" s="4" t="s">
        <v>62</v>
      </c>
      <c r="H21" s="4" t="s">
        <v>305</v>
      </c>
      <c r="I21" s="7" t="s">
        <v>37</v>
      </c>
    </row>
    <row r="22" spans="1:9" ht="30" customHeight="1">
      <c r="A22" s="4" t="s">
        <v>306</v>
      </c>
      <c r="B22" s="4" t="s">
        <v>307</v>
      </c>
      <c r="C22" s="5">
        <v>0.96050000000000002</v>
      </c>
      <c r="D22" s="4" t="s">
        <v>297</v>
      </c>
      <c r="E22" s="4" t="s">
        <v>188</v>
      </c>
      <c r="F22" s="4" t="s">
        <v>298</v>
      </c>
      <c r="G22" s="4" t="s">
        <v>62</v>
      </c>
      <c r="H22" s="4" t="s">
        <v>308</v>
      </c>
      <c r="I22" s="7" t="s">
        <v>37</v>
      </c>
    </row>
    <row r="23" spans="1:9" ht="30" customHeight="1">
      <c r="A23" s="4" t="s">
        <v>309</v>
      </c>
      <c r="B23" s="4" t="s">
        <v>138</v>
      </c>
      <c r="C23" s="5">
        <v>1</v>
      </c>
      <c r="D23" s="4" t="s">
        <v>310</v>
      </c>
      <c r="E23" s="4" t="s">
        <v>188</v>
      </c>
      <c r="F23" s="4" t="s">
        <v>298</v>
      </c>
      <c r="G23" s="4" t="s">
        <v>62</v>
      </c>
      <c r="H23" s="4" t="s">
        <v>311</v>
      </c>
      <c r="I23" s="7" t="s">
        <v>37</v>
      </c>
    </row>
    <row r="24" spans="1:9" ht="30" customHeight="1">
      <c r="A24" s="4" t="s">
        <v>312</v>
      </c>
      <c r="B24" s="4" t="s">
        <v>138</v>
      </c>
      <c r="C24" s="5">
        <v>1</v>
      </c>
      <c r="D24" s="4" t="s">
        <v>310</v>
      </c>
      <c r="E24" s="4" t="s">
        <v>188</v>
      </c>
      <c r="F24" s="4" t="s">
        <v>298</v>
      </c>
      <c r="G24" s="4" t="s">
        <v>62</v>
      </c>
      <c r="H24" s="4" t="s">
        <v>311</v>
      </c>
      <c r="I24" s="7" t="s">
        <v>37</v>
      </c>
    </row>
  </sheetData>
  <conditionalFormatting sqref="E2:E24">
    <cfRule type="expression" dxfId="7" priority="7">
      <formula>$E2="Yes"</formula>
    </cfRule>
    <cfRule type="expression" dxfId="6" priority="8">
      <formula>$E2="No"</formula>
    </cfRule>
  </conditionalFormatting>
  <conditionalFormatting sqref="F2:F24">
    <cfRule type="expression" dxfId="5" priority="4">
      <formula>$F2="Yes"</formula>
    </cfRule>
    <cfRule type="expression" dxfId="4" priority="5">
      <formula>$F2="Selective"</formula>
    </cfRule>
    <cfRule type="expression" dxfId="3" priority="6">
      <formula>$F2="No"</formula>
    </cfRule>
  </conditionalFormatting>
  <conditionalFormatting sqref="G2:G24">
    <cfRule type="expression" dxfId="2" priority="1">
      <formula>$G2="High"</formula>
    </cfRule>
    <cfRule type="expression" dxfId="1" priority="2">
      <formula>$G2="Medium"</formula>
    </cfRule>
    <cfRule type="expression" dxfId="0" priority="3">
      <formula>$G2="Low"</formula>
    </cfRule>
  </conditionalFormatting>
  <hyperlinks>
    <hyperlink ref="I2" r:id="rId1" xr:uid="{00000000-0004-0000-0500-000000000000}"/>
    <hyperlink ref="I3" r:id="rId2" xr:uid="{00000000-0004-0000-0500-000001000000}"/>
    <hyperlink ref="I4" r:id="rId3" xr:uid="{00000000-0004-0000-0500-000002000000}"/>
    <hyperlink ref="I5" r:id="rId4" xr:uid="{00000000-0004-0000-0500-000003000000}"/>
    <hyperlink ref="I6" r:id="rId5" xr:uid="{00000000-0004-0000-0500-000004000000}"/>
    <hyperlink ref="I7" r:id="rId6" xr:uid="{00000000-0004-0000-0500-000005000000}"/>
    <hyperlink ref="I8" r:id="rId7" xr:uid="{00000000-0004-0000-0500-000006000000}"/>
    <hyperlink ref="I9" r:id="rId8" xr:uid="{00000000-0004-0000-0500-000007000000}"/>
    <hyperlink ref="I10" r:id="rId9" xr:uid="{00000000-0004-0000-0500-000008000000}"/>
    <hyperlink ref="I11" r:id="rId10" xr:uid="{00000000-0004-0000-0500-000009000000}"/>
    <hyperlink ref="I12" r:id="rId11" xr:uid="{00000000-0004-0000-0500-00000A000000}"/>
    <hyperlink ref="I13" r:id="rId12" xr:uid="{00000000-0004-0000-0500-00000B000000}"/>
    <hyperlink ref="I14" r:id="rId13" xr:uid="{00000000-0004-0000-0500-00000C000000}"/>
    <hyperlink ref="I15" r:id="rId14" xr:uid="{00000000-0004-0000-0500-00000D000000}"/>
    <hyperlink ref="I16" r:id="rId15" xr:uid="{00000000-0004-0000-0500-00000E000000}"/>
    <hyperlink ref="I17" r:id="rId16" xr:uid="{00000000-0004-0000-0500-00000F000000}"/>
    <hyperlink ref="I18" r:id="rId17" xr:uid="{00000000-0004-0000-0500-000010000000}"/>
    <hyperlink ref="I19" r:id="rId18" xr:uid="{00000000-0004-0000-0500-000011000000}"/>
    <hyperlink ref="I20" r:id="rId19" xr:uid="{00000000-0004-0000-0500-000012000000}"/>
    <hyperlink ref="I21" r:id="rId20" xr:uid="{00000000-0004-0000-0500-000013000000}"/>
    <hyperlink ref="I22" r:id="rId21" xr:uid="{00000000-0004-0000-0500-000014000000}"/>
    <hyperlink ref="I23" r:id="rId22" xr:uid="{00000000-0004-0000-0500-000015000000}"/>
    <hyperlink ref="I24" r:id="rId23" xr:uid="{00000000-0004-0000-0500-000016000000}"/>
  </hyperlinks>
  <pageMargins left="0.7" right="0.7" top="0.75" bottom="0.75" header="0.3" footer="0.3"/>
  <tableParts count="1">
    <tablePart r:id="rId2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&amp; Reporting Position</vt:lpstr>
      <vt:lpstr>Validation Outcomes</vt:lpstr>
      <vt:lpstr>Exception Register</vt:lpstr>
      <vt:lpstr>Monitoring Summary</vt:lpstr>
      <vt:lpstr>Geographic Caveats</vt:lpstr>
      <vt:lpstr>Reviewed Fields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winwon64@naver.com</cp:lastModifiedBy>
  <dcterms:created xsi:type="dcterms:W3CDTF">2026-03-25T23:05:03Z</dcterms:created>
  <dcterms:modified xsi:type="dcterms:W3CDTF">2026-03-25T23:24:38Z</dcterms:modified>
</cp:coreProperties>
</file>